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Katsayılar" sheetId="2" state="visible" r:id="rId2"/>
    <sheet name="Tahminler" sheetId="3" state="visible" r:id="rId3"/>
    <sheet name="Yöntem" sheetId="4" state="visible" r:id="rId4"/>
  </sheets>
  <definedNames>
    <definedName name="_xlnm._FilterDatabase" localSheetId="2" hidden="1">'Tahminler'!$A$1:$L$508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0758A"/>
      <sz val="10"/>
    </font>
    <font>
      <b val="1"/>
      <color rgb="00FFFFFF"/>
      <sz val="12"/>
    </font>
    <font>
      <b val="1"/>
      <color rgb="0017324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Gerçek ve çapraz doğrulama tahminleri</a:t>
            </a:r>
          </a:p>
        </rich>
      </tx>
    </title>
    <plotArea>
      <scatterChart>
        <ser>
          <idx val="0"/>
          <order val="0"/>
          <tx>
            <v>ZIP bölgeleri</v>
          </tx>
          <spPr>
            <a:ln>
              <a:noFill/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'Tahminler'!$D$2:$D$508</f>
            </numRef>
          </xVal>
          <yVal>
            <numRef>
              <f>'Tahminler'!$E$2:$E$508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Gerçek EV / 1.000 konut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Tahmin EV / 1.000 konut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Katsayı büyüklükleri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'Katsayılar'!B4</f>
            </strRef>
          </tx>
          <spPr>
            <a:ln>
              <a:prstDash val="solid"/>
            </a:ln>
          </spPr>
          <cat>
            <numRef>
              <f>'Katsayılar'!$A$5:$A$8</f>
            </numRef>
          </cat>
          <val>
            <numRef>
              <f>'Katsayılar'!$B$5:$B$8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EV / 1.000 konut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Değişken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10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gressionCoefficients" displayName="RegressionCoefficients" ref="A4:F8" headerRowCount="1">
  <autoFilter ref="A4:F8"/>
  <tableColumns count="6">
    <tableColumn id="1" name="Değişken"/>
    <tableColumn id="2" name="Katsayı"/>
    <tableColumn id="3" name="Yön"/>
    <tableColumn id="4" name="Ortalama"/>
    <tableColumn id="5" name="Standart sapma"/>
    <tableColumn id="6" name="Yor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ressionPredictions" displayName="RegressionPredictions" ref="A1:L508" headerRowCount="1">
  <autoFilter ref="A1:L508"/>
  <tableColumns count="12">
    <tableColumn id="1" name="ZIP"/>
    <tableColumn id="2" name="Şehir"/>
    <tableColumn id="3" name="County"/>
    <tableColumn id="4" name="Gerçek EV/1K"/>
    <tableColumn id="5" name="Tahmin EV/1K"/>
    <tableColumn id="6" name="Artık (Gerçek-Tahmin)"/>
    <tableColumn id="7" name="Mutlak hata"/>
    <tableColumn id="8" name="Hata karesi"/>
    <tableColumn id="9" name="Medyan gelir"/>
    <tableColumn id="10" name="Çok birimli konut %"/>
    <tableColumn id="11" name="Evden çalışma %"/>
    <tableColumn id="12" name="İşe gidiş d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24" customWidth="1" min="3" max="3"/>
    <col width="78" customWidth="1" min="4" max="4"/>
  </cols>
  <sheetData>
    <row r="1" ht="34" customHeight="1">
      <c r="A1" s="1" t="inlineStr">
        <is>
          <t>Çoklu Doğrusal Regresyon</t>
        </is>
      </c>
    </row>
    <row r="2" ht="25" customHeight="1">
      <c r="A2" s="2" t="inlineStr">
        <is>
          <t>Washington ZIP/ZCTA bölgelerinde EV yoğunluğunu açıklayan Census göstergeleri</t>
        </is>
      </c>
    </row>
    <row r="3"/>
    <row r="4" ht="23" customHeight="1">
      <c r="A4" s="3" t="inlineStr">
        <is>
          <t>Model tanımı</t>
        </is>
      </c>
    </row>
    <row r="5">
      <c r="A5" s="4" t="inlineStr">
        <is>
          <t>Hedef</t>
        </is>
      </c>
      <c r="B5" s="5" t="inlineStr">
        <is>
          <t>1.000 konut başına kayıtlı EV</t>
        </is>
      </c>
    </row>
    <row r="6">
      <c r="A6" s="4" t="inlineStr">
        <is>
          <t>Örneklem</t>
        </is>
      </c>
      <c r="B6" s="5" t="n">
        <v>507</v>
      </c>
    </row>
    <row r="7">
      <c r="A7" s="4" t="inlineStr">
        <is>
          <t>Doğrulama</t>
        </is>
      </c>
      <c r="B7" s="5" t="inlineStr">
        <is>
          <t>5 katlı çapraz doğrulama; her ZIP eğitim dışında tahmin edildi</t>
        </is>
      </c>
    </row>
    <row r="8">
      <c r="A8" s="4" t="inlineStr">
        <is>
          <t>Denklem</t>
        </is>
      </c>
      <c r="B8" s="5" t="inlineStr">
        <is>
          <t>ŷ = 58.85 + 30.09·z(Medyan hane geliri) + 6.78·z(Çok birimli konut oranı) + 11.17·z(Evden çalışma oranı) + 2.68·z(Ortalama işe gidiş süresi)</t>
        </is>
      </c>
    </row>
    <row r="9"/>
    <row r="10" ht="23" customHeight="1">
      <c r="A10" s="3" t="inlineStr">
        <is>
          <t>Başarı ölçüleri</t>
        </is>
      </c>
    </row>
    <row r="11" ht="28" customHeight="1">
      <c r="A11" s="6" t="inlineStr">
        <is>
          <t>Ölçü</t>
        </is>
      </c>
      <c r="B11" s="6" t="inlineStr">
        <is>
          <t>Python sonucu</t>
        </is>
      </c>
      <c r="C11" s="6" t="inlineStr">
        <is>
          <t>Excel kontrolü</t>
        </is>
      </c>
      <c r="D11" s="6" t="inlineStr">
        <is>
          <t>Nasıl okunur?</t>
        </is>
      </c>
    </row>
    <row r="12">
      <c r="A12" s="4" t="inlineStr">
        <is>
          <t>R²</t>
        </is>
      </c>
      <c r="B12" s="7" t="n">
        <v>0.626</v>
      </c>
      <c r="C12" s="7">
        <f>1-SUM('Tahminler'!H2:H508)/DEVSQ('Tahminler'!D2:D508)</f>
        <v/>
      </c>
      <c r="D12" s="5" t="inlineStr">
        <is>
          <t>Modelin ZIP'ler arasındaki EV yoğunluğu farkının ne kadarını açıkladığını gösterir; yüksek olması iyidir.</t>
        </is>
      </c>
    </row>
    <row r="13">
      <c r="A13" s="4" t="inlineStr">
        <is>
          <t>MAE</t>
        </is>
      </c>
      <c r="B13" s="7" t="n">
        <v>21.13</v>
      </c>
      <c r="C13" s="7">
        <f>AVERAGE('Tahminler'!G2:G508)</f>
        <v/>
      </c>
      <c r="D13" s="5" t="inlineStr">
        <is>
          <t>Tahminlerin gerçek değerden ortalama mutlak sapmasıdır; düşük olması iyidir.</t>
        </is>
      </c>
    </row>
    <row r="14">
      <c r="A14" s="4" t="inlineStr">
        <is>
          <t>RMSE</t>
        </is>
      </c>
      <c r="B14" s="7" t="n">
        <v>30.48</v>
      </c>
      <c r="C14" s="7">
        <f>SQRT(AVERAGE('Tahminler'!H2:H508))</f>
        <v/>
      </c>
      <c r="D14" s="5" t="inlineStr">
        <is>
          <t>Büyük hatalara MAE'den daha fazla ağırlık verir; düşük olması iyidir.</t>
        </is>
      </c>
    </row>
    <row r="15">
      <c r="A15" s="4" t="inlineStr">
        <is>
          <t>CV R² ortalaması</t>
        </is>
      </c>
      <c r="B15" s="7" t="n">
        <v>0.614</v>
      </c>
      <c r="C15" s="7" t="inlineStr">
        <is>
          <t>Python 5-fold sonucu</t>
        </is>
      </c>
      <c r="D15" s="5" t="inlineStr">
        <is>
          <t>Beş doğrulama grubundaki R² değerlerinin ortalamasıdır.</t>
        </is>
      </c>
    </row>
  </sheetData>
  <mergeCells count="8">
    <mergeCell ref="A2:I2"/>
    <mergeCell ref="B7:I7"/>
    <mergeCell ref="A10:I10"/>
    <mergeCell ref="B6:I6"/>
    <mergeCell ref="A1:I1"/>
    <mergeCell ref="B5:I5"/>
    <mergeCell ref="A4:I4"/>
    <mergeCell ref="B8:I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7" customWidth="1" min="4" max="4"/>
    <col width="18" customWidth="1" min="5" max="5"/>
    <col width="72" customWidth="1" min="6" max="6"/>
  </cols>
  <sheetData>
    <row r="1" ht="34" customHeight="1">
      <c r="A1" s="1" t="inlineStr">
        <is>
          <t>Standartlaştırılmış Regresyon Katsayıları</t>
        </is>
      </c>
    </row>
    <row r="2" ht="25" customHeight="1">
      <c r="A2" s="2" t="inlineStr">
        <is>
          <t>+1 standart sapmalık değişimin EV/1.000 konut tahminindeki karşılığı</t>
        </is>
      </c>
    </row>
    <row r="3"/>
    <row r="4" ht="28" customHeight="1">
      <c r="A4" s="6" t="inlineStr">
        <is>
          <t>Değişken</t>
        </is>
      </c>
      <c r="B4" s="6" t="inlineStr">
        <is>
          <t>Katsayı</t>
        </is>
      </c>
      <c r="C4" s="6" t="inlineStr">
        <is>
          <t>Yön</t>
        </is>
      </c>
      <c r="D4" s="6" t="inlineStr">
        <is>
          <t>Ortalama</t>
        </is>
      </c>
      <c r="E4" s="6" t="inlineStr">
        <is>
          <t>Standart sapma</t>
        </is>
      </c>
      <c r="F4" s="6" t="inlineStr">
        <is>
          <t>Yorum</t>
        </is>
      </c>
    </row>
    <row r="5">
      <c r="A5" s="7" t="inlineStr">
        <is>
          <t>Medyan hane geliri</t>
        </is>
      </c>
      <c r="B5" s="7" t="n">
        <v>30.09</v>
      </c>
      <c r="C5" s="7" t="inlineStr">
        <is>
          <t>Pozitif</t>
        </is>
      </c>
      <c r="D5" s="7" t="n">
        <v>90073.32000000001</v>
      </c>
      <c r="E5" s="7" t="n">
        <v>29872.99</v>
      </c>
      <c r="F5" s="5" t="inlineStr">
        <is>
          <t>Medyan hane geliri bir standart sapma arttığında modelin EV yoğunluğu tahmini 30.1 EV/1.000 konut artar.</t>
        </is>
      </c>
    </row>
    <row r="6">
      <c r="A6" s="7" t="inlineStr">
        <is>
          <t>Çok birimli konut oranı</t>
        </is>
      </c>
      <c r="B6" s="7" t="n">
        <v>6.78</v>
      </c>
      <c r="C6" s="7" t="inlineStr">
        <is>
          <t>Pozitif</t>
        </is>
      </c>
      <c r="D6" s="7" t="n">
        <v>15.86</v>
      </c>
      <c r="E6" s="7" t="n">
        <v>18.52</v>
      </c>
      <c r="F6" s="5" t="inlineStr">
        <is>
          <t>Çok birimli konut oranı bir standart sapma arttığında modelin EV yoğunluğu tahmini 6.8 EV/1.000 konut artar.</t>
        </is>
      </c>
    </row>
    <row r="7">
      <c r="A7" s="7" t="inlineStr">
        <is>
          <t>Evden çalışma oranı</t>
        </is>
      </c>
      <c r="B7" s="7" t="n">
        <v>11.17</v>
      </c>
      <c r="C7" s="7" t="inlineStr">
        <is>
          <t>Pozitif</t>
        </is>
      </c>
      <c r="D7" s="7" t="n">
        <v>16.11</v>
      </c>
      <c r="E7" s="7" t="n">
        <v>10.11</v>
      </c>
      <c r="F7" s="5" t="inlineStr">
        <is>
          <t>Evden çalışma oranı bir standart sapma arttığında modelin EV yoğunluğu tahmini 11.2 EV/1.000 konut artar.</t>
        </is>
      </c>
    </row>
    <row r="8">
      <c r="A8" s="7" t="inlineStr">
        <is>
          <t>Ortalama işe gidiş süresi</t>
        </is>
      </c>
      <c r="B8" s="7" t="n">
        <v>2.68</v>
      </c>
      <c r="C8" s="7" t="inlineStr">
        <is>
          <t>Pozitif</t>
        </is>
      </c>
      <c r="D8" s="7" t="n">
        <v>27.35</v>
      </c>
      <c r="E8" s="7" t="n">
        <v>7.88</v>
      </c>
      <c r="F8" s="5" t="inlineStr">
        <is>
          <t>Ortalama işe gidiş süresi bir standart sapma arttığında modelin EV yoğunluğu tahmini 2.7 EV/1.000 konut artar.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8" customWidth="1" min="3" max="3"/>
    <col width="15" customWidth="1" min="4" max="4"/>
    <col width="15" customWidth="1" min="5" max="5"/>
    <col width="21" customWidth="1" min="6" max="6"/>
    <col width="14" customWidth="1" min="7" max="7"/>
    <col width="14" customWidth="1" min="8" max="8"/>
    <col width="17" customWidth="1" min="9" max="9"/>
    <col width="20" customWidth="1" min="10" max="10"/>
    <col width="18" customWidth="1" min="11" max="11"/>
    <col width="15" customWidth="1" min="12" max="12"/>
  </cols>
  <sheetData>
    <row r="1" ht="28" customHeight="1">
      <c r="A1" s="6" t="inlineStr">
        <is>
          <t>ZIP</t>
        </is>
      </c>
      <c r="B1" s="6" t="inlineStr">
        <is>
          <t>Şehir</t>
        </is>
      </c>
      <c r="C1" s="6" t="inlineStr">
        <is>
          <t>County</t>
        </is>
      </c>
      <c r="D1" s="6" t="inlineStr">
        <is>
          <t>Gerçek EV/1K</t>
        </is>
      </c>
      <c r="E1" s="6" t="inlineStr">
        <is>
          <t>Tahmin EV/1K</t>
        </is>
      </c>
      <c r="F1" s="6" t="inlineStr">
        <is>
          <t>Artık (Gerçek-Tahmin)</t>
        </is>
      </c>
      <c r="G1" s="6" t="inlineStr">
        <is>
          <t>Mutlak hata</t>
        </is>
      </c>
      <c r="H1" s="6" t="inlineStr">
        <is>
          <t>Hata karesi</t>
        </is>
      </c>
      <c r="I1" s="6" t="inlineStr">
        <is>
          <t>Medyan gelir</t>
        </is>
      </c>
      <c r="J1" s="6" t="inlineStr">
        <is>
          <t>Çok birimli konut %</t>
        </is>
      </c>
      <c r="K1" s="6" t="inlineStr">
        <is>
          <t>Evden çalışma %</t>
        </is>
      </c>
      <c r="L1" s="6" t="inlineStr">
        <is>
          <t>İşe gidiş dk</t>
        </is>
      </c>
    </row>
    <row r="2">
      <c r="A2" s="7" t="inlineStr">
        <is>
          <t>98001</t>
        </is>
      </c>
      <c r="B2" s="7" t="inlineStr">
        <is>
          <t>Auburn</t>
        </is>
      </c>
      <c r="C2" s="7" t="inlineStr">
        <is>
          <t>King</t>
        </is>
      </c>
      <c r="D2" s="7" t="n">
        <v>105.2462440748775</v>
      </c>
      <c r="E2" s="7" t="n">
        <v>72.31899377010285</v>
      </c>
      <c r="F2" s="7">
        <f>D2-E2</f>
        <v/>
      </c>
      <c r="G2" s="7">
        <f>ABS(F2)</f>
        <v/>
      </c>
      <c r="H2" s="7">
        <f>F2^2</f>
        <v/>
      </c>
      <c r="I2" s="7" t="n">
        <v>106791</v>
      </c>
      <c r="J2" s="7" t="n">
        <v>13.16783160600948</v>
      </c>
      <c r="K2" s="7" t="n">
        <v>13.4</v>
      </c>
      <c r="L2" s="7" t="n">
        <v>30.3</v>
      </c>
    </row>
    <row r="3">
      <c r="A3" s="7" t="inlineStr">
        <is>
          <t>98002</t>
        </is>
      </c>
      <c r="B3" s="7" t="inlineStr">
        <is>
          <t>Auburn</t>
        </is>
      </c>
      <c r="C3" s="7" t="inlineStr">
        <is>
          <t>King</t>
        </is>
      </c>
      <c r="D3" s="7" t="n">
        <v>34.29938846051582</v>
      </c>
      <c r="E3" s="7" t="n">
        <v>51.11748256717871</v>
      </c>
      <c r="F3" s="7">
        <f>D3-E3</f>
        <v/>
      </c>
      <c r="G3" s="7">
        <f>ABS(F3)</f>
        <v/>
      </c>
      <c r="H3" s="7">
        <f>F3^2</f>
        <v/>
      </c>
      <c r="I3" s="7" t="n">
        <v>78684</v>
      </c>
      <c r="J3" s="7" t="n">
        <v>46.0449348577506</v>
      </c>
      <c r="K3" s="7" t="n">
        <v>10.9</v>
      </c>
      <c r="L3" s="7" t="n">
        <v>28.7</v>
      </c>
    </row>
    <row r="4">
      <c r="A4" s="7" t="inlineStr">
        <is>
          <t>98003</t>
        </is>
      </c>
      <c r="B4" s="7" t="inlineStr">
        <is>
          <t>Federal Way</t>
        </is>
      </c>
      <c r="C4" s="7" t="inlineStr">
        <is>
          <t>King</t>
        </is>
      </c>
      <c r="D4" s="7" t="n">
        <v>50.572036043333</v>
      </c>
      <c r="E4" s="7" t="n">
        <v>52.5083748686877</v>
      </c>
      <c r="F4" s="7">
        <f>D4-E4</f>
        <v/>
      </c>
      <c r="G4" s="7">
        <f>ABS(F4)</f>
        <v/>
      </c>
      <c r="H4" s="7">
        <f>F4^2</f>
        <v/>
      </c>
      <c r="I4" s="7" t="n">
        <v>75319</v>
      </c>
      <c r="J4" s="7" t="n">
        <v>54.30292598967298</v>
      </c>
      <c r="K4" s="7" t="n">
        <v>10.3</v>
      </c>
      <c r="L4" s="7" t="n">
        <v>31.2</v>
      </c>
    </row>
    <row r="5">
      <c r="A5" s="7" t="inlineStr">
        <is>
          <t>98004</t>
        </is>
      </c>
      <c r="B5" s="7" t="inlineStr">
        <is>
          <t>Bellevue</t>
        </is>
      </c>
      <c r="C5" s="7" t="inlineStr">
        <is>
          <t>King</t>
        </is>
      </c>
      <c r="D5" s="7" t="n">
        <v>193.4875830545215</v>
      </c>
      <c r="E5" s="7" t="n">
        <v>187.1177253667057</v>
      </c>
      <c r="F5" s="7">
        <f>D5-E5</f>
        <v/>
      </c>
      <c r="G5" s="7">
        <f>ABS(F5)</f>
        <v/>
      </c>
      <c r="H5" s="7">
        <f>F5^2</f>
        <v/>
      </c>
      <c r="I5" s="7" t="n">
        <v>182545</v>
      </c>
      <c r="J5" s="7" t="n">
        <v>68.26728240893455</v>
      </c>
      <c r="K5" s="7" t="n">
        <v>38.4</v>
      </c>
      <c r="L5" s="7" t="n">
        <v>21.3</v>
      </c>
    </row>
    <row r="6">
      <c r="A6" s="7" t="inlineStr">
        <is>
          <t>98005</t>
        </is>
      </c>
      <c r="B6" s="7" t="inlineStr">
        <is>
          <t>Bellevue</t>
        </is>
      </c>
      <c r="C6" s="7" t="inlineStr">
        <is>
          <t>King</t>
        </is>
      </c>
      <c r="D6" s="7" t="n">
        <v>219.8611403324216</v>
      </c>
      <c r="E6" s="7" t="n">
        <v>165.3521916294235</v>
      </c>
      <c r="F6" s="7">
        <f>D6-E6</f>
        <v/>
      </c>
      <c r="G6" s="7">
        <f>ABS(F6)</f>
        <v/>
      </c>
      <c r="H6" s="7">
        <f>F6^2</f>
        <v/>
      </c>
      <c r="I6" s="7" t="n">
        <v>160849</v>
      </c>
      <c r="J6" s="7" t="n">
        <v>48.09593940669051</v>
      </c>
      <c r="K6" s="7" t="n">
        <v>35.5</v>
      </c>
      <c r="L6" s="7" t="n">
        <v>22.5</v>
      </c>
    </row>
    <row r="7">
      <c r="A7" s="7" t="inlineStr">
        <is>
          <t>98007</t>
        </is>
      </c>
      <c r="B7" s="7" t="inlineStr">
        <is>
          <t>Bellevue</t>
        </is>
      </c>
      <c r="C7" s="7" t="inlineStr">
        <is>
          <t>King</t>
        </is>
      </c>
      <c r="D7" s="7" t="n">
        <v>121.784149741139</v>
      </c>
      <c r="E7" s="7" t="n">
        <v>133.1952511518644</v>
      </c>
      <c r="F7" s="7">
        <f>D7-E7</f>
        <v/>
      </c>
      <c r="G7" s="7">
        <f>ABS(F7)</f>
        <v/>
      </c>
      <c r="H7" s="7">
        <f>F7^2</f>
        <v/>
      </c>
      <c r="I7" s="7" t="n">
        <v>131109</v>
      </c>
      <c r="J7" s="7" t="n">
        <v>69.62166467542812</v>
      </c>
      <c r="K7" s="7" t="n">
        <v>33.6</v>
      </c>
      <c r="L7" s="7" t="n">
        <v>22.7</v>
      </c>
    </row>
    <row r="8">
      <c r="A8" s="7" t="inlineStr">
        <is>
          <t>98008</t>
        </is>
      </c>
      <c r="B8" s="7" t="inlineStr">
        <is>
          <t>Bellevue</t>
        </is>
      </c>
      <c r="C8" s="7" t="inlineStr">
        <is>
          <t>King</t>
        </is>
      </c>
      <c r="D8" s="7" t="n">
        <v>232.8753583077988</v>
      </c>
      <c r="E8" s="7" t="n">
        <v>175.8093200359146</v>
      </c>
      <c r="F8" s="7">
        <f>D8-E8</f>
        <v/>
      </c>
      <c r="G8" s="7">
        <f>ABS(F8)</f>
        <v/>
      </c>
      <c r="H8" s="7">
        <f>F8^2</f>
        <v/>
      </c>
      <c r="I8" s="7" t="n">
        <v>184583</v>
      </c>
      <c r="J8" s="7" t="n">
        <v>18.03894435109222</v>
      </c>
      <c r="K8" s="7" t="n">
        <v>35.1</v>
      </c>
      <c r="L8" s="7" t="n">
        <v>22.8</v>
      </c>
    </row>
    <row r="9">
      <c r="A9" s="7" t="inlineStr">
        <is>
          <t>98010</t>
        </is>
      </c>
      <c r="B9" s="7" t="inlineStr">
        <is>
          <t>Black Diamond</t>
        </is>
      </c>
      <c r="C9" s="7" t="inlineStr">
        <is>
          <t>King</t>
        </is>
      </c>
      <c r="D9" s="7" t="n">
        <v>224.5045045045045</v>
      </c>
      <c r="E9" s="7" t="n">
        <v>117.2974831104823</v>
      </c>
      <c r="F9" s="7">
        <f>D9-E9</f>
        <v/>
      </c>
      <c r="G9" s="7">
        <f>ABS(F9)</f>
        <v/>
      </c>
      <c r="H9" s="7">
        <f>F9^2</f>
        <v/>
      </c>
      <c r="I9" s="7" t="n">
        <v>142048</v>
      </c>
      <c r="J9" s="7" t="n">
        <v>6.666666666666667</v>
      </c>
      <c r="K9" s="7" t="n">
        <v>24.2</v>
      </c>
      <c r="L9" s="7" t="n">
        <v>37.3</v>
      </c>
    </row>
    <row r="10">
      <c r="A10" s="7" t="inlineStr">
        <is>
          <t>98011</t>
        </is>
      </c>
      <c r="B10" s="7" t="inlineStr">
        <is>
          <t>Bothell</t>
        </is>
      </c>
      <c r="C10" s="7" t="inlineStr">
        <is>
          <t>King</t>
        </is>
      </c>
      <c r="D10" s="7" t="n">
        <v>152.6616118189635</v>
      </c>
      <c r="E10" s="7" t="n">
        <v>131.717955207801</v>
      </c>
      <c r="F10" s="7">
        <f>D10-E10</f>
        <v/>
      </c>
      <c r="G10" s="7">
        <f>ABS(F10)</f>
        <v/>
      </c>
      <c r="H10" s="7">
        <f>F10^2</f>
        <v/>
      </c>
      <c r="I10" s="7" t="n">
        <v>131667</v>
      </c>
      <c r="J10" s="7" t="n">
        <v>43.57070272805441</v>
      </c>
      <c r="K10" s="7" t="n">
        <v>32.8</v>
      </c>
      <c r="L10" s="7" t="n">
        <v>25.3</v>
      </c>
    </row>
    <row r="11">
      <c r="A11" s="7" t="inlineStr">
        <is>
          <t>98012</t>
        </is>
      </c>
      <c r="B11" s="7" t="inlineStr">
        <is>
          <t>Bothell</t>
        </is>
      </c>
      <c r="C11" s="7" t="inlineStr">
        <is>
          <t>Snohomish</t>
        </is>
      </c>
      <c r="D11" s="7" t="n">
        <v>191.5672734881774</v>
      </c>
      <c r="E11" s="7" t="n">
        <v>134.0267524261918</v>
      </c>
      <c r="F11" s="7">
        <f>D11-E11</f>
        <v/>
      </c>
      <c r="G11" s="7">
        <f>ABS(F11)</f>
        <v/>
      </c>
      <c r="H11" s="7">
        <f>F11^2</f>
        <v/>
      </c>
      <c r="I11" s="7" t="n">
        <v>146144</v>
      </c>
      <c r="J11" s="7" t="n">
        <v>29.27739415498361</v>
      </c>
      <c r="K11" s="7" t="n">
        <v>28.5</v>
      </c>
      <c r="L11" s="7" t="n">
        <v>31.8</v>
      </c>
    </row>
    <row r="12">
      <c r="A12" s="7" t="inlineStr">
        <is>
          <t>98014</t>
        </is>
      </c>
      <c r="B12" s="7" t="inlineStr">
        <is>
          <t>Carnation</t>
        </is>
      </c>
      <c r="C12" s="7" t="inlineStr">
        <is>
          <t>King</t>
        </is>
      </c>
      <c r="D12" s="7" t="n">
        <v>188.9306457123334</v>
      </c>
      <c r="E12" s="7" t="n">
        <v>147.0704239583384</v>
      </c>
      <c r="F12" s="7">
        <f>D12-E12</f>
        <v/>
      </c>
      <c r="G12" s="7">
        <f>ABS(F12)</f>
        <v/>
      </c>
      <c r="H12" s="7">
        <f>F12^2</f>
        <v/>
      </c>
      <c r="I12" s="7" t="n">
        <v>164306</v>
      </c>
      <c r="J12" s="7" t="n">
        <v>3.177314656645029</v>
      </c>
      <c r="K12" s="7" t="n">
        <v>30.3</v>
      </c>
      <c r="L12" s="7" t="n">
        <v>30.2</v>
      </c>
    </row>
    <row r="13">
      <c r="A13" s="7" t="inlineStr">
        <is>
          <t>98019</t>
        </is>
      </c>
      <c r="B13" s="7" t="inlineStr">
        <is>
          <t>Duvall</t>
        </is>
      </c>
      <c r="C13" s="7" t="inlineStr">
        <is>
          <t>King</t>
        </is>
      </c>
      <c r="D13" s="7" t="n">
        <v>233.9481671725426</v>
      </c>
      <c r="E13" s="7" t="n">
        <v>148.9883036633199</v>
      </c>
      <c r="F13" s="7">
        <f>D13-E13</f>
        <v/>
      </c>
      <c r="G13" s="7">
        <f>ABS(F13)</f>
        <v/>
      </c>
      <c r="H13" s="7">
        <f>F13^2</f>
        <v/>
      </c>
      <c r="I13" s="7" t="n">
        <v>161212</v>
      </c>
      <c r="J13" s="7" t="n">
        <v>5.043194022881158</v>
      </c>
      <c r="K13" s="7" t="n">
        <v>36.6</v>
      </c>
      <c r="L13" s="7" t="n">
        <v>31.9</v>
      </c>
    </row>
    <row r="14">
      <c r="A14" s="7" t="inlineStr">
        <is>
          <t>98020</t>
        </is>
      </c>
      <c r="B14" s="7" t="inlineStr">
        <is>
          <t>Edmonds</t>
        </is>
      </c>
      <c r="C14" s="7" t="inlineStr">
        <is>
          <t>Snohomish</t>
        </is>
      </c>
      <c r="D14" s="7" t="n">
        <v>129.7501574637833</v>
      </c>
      <c r="E14" s="7" t="n">
        <v>125.3095072501193</v>
      </c>
      <c r="F14" s="7">
        <f>D14-E14</f>
        <v/>
      </c>
      <c r="G14" s="7">
        <f>ABS(F14)</f>
        <v/>
      </c>
      <c r="H14" s="7">
        <f>F14^2</f>
        <v/>
      </c>
      <c r="I14" s="7" t="n">
        <v>130319</v>
      </c>
      <c r="J14" s="7" t="n">
        <v>32.9414234726013</v>
      </c>
      <c r="K14" s="7" t="n">
        <v>32.3</v>
      </c>
      <c r="L14" s="7" t="n">
        <v>27.2</v>
      </c>
    </row>
    <row r="15">
      <c r="A15" s="7" t="inlineStr">
        <is>
          <t>98021</t>
        </is>
      </c>
      <c r="B15" s="7" t="inlineStr">
        <is>
          <t>Bothell</t>
        </is>
      </c>
      <c r="C15" s="7" t="inlineStr">
        <is>
          <t>Snohomish</t>
        </is>
      </c>
      <c r="D15" s="7" t="n">
        <v>241.8336321821158</v>
      </c>
      <c r="E15" s="7" t="n">
        <v>182.2961353691055</v>
      </c>
      <c r="F15" s="7">
        <f>D15-E15</f>
        <v/>
      </c>
      <c r="G15" s="7">
        <f>ABS(F15)</f>
        <v/>
      </c>
      <c r="H15" s="7">
        <f>F15^2</f>
        <v/>
      </c>
      <c r="I15" s="7" t="n">
        <v>183786</v>
      </c>
      <c r="J15" s="7" t="n">
        <v>11.50697746940048</v>
      </c>
      <c r="K15" s="7" t="n">
        <v>36.1</v>
      </c>
      <c r="L15" s="7" t="n">
        <v>31.5</v>
      </c>
    </row>
    <row r="16">
      <c r="A16" s="7" t="inlineStr">
        <is>
          <t>98022</t>
        </is>
      </c>
      <c r="B16" s="7" t="inlineStr">
        <is>
          <t>Enumclaw</t>
        </is>
      </c>
      <c r="C16" s="7" t="inlineStr">
        <is>
          <t>King</t>
        </is>
      </c>
      <c r="D16" s="7" t="n">
        <v>59.42833641784907</v>
      </c>
      <c r="E16" s="7" t="n">
        <v>85.43323068761678</v>
      </c>
      <c r="F16" s="7">
        <f>D16-E16</f>
        <v/>
      </c>
      <c r="G16" s="7">
        <f>ABS(F16)</f>
        <v/>
      </c>
      <c r="H16" s="7">
        <f>F16^2</f>
        <v/>
      </c>
      <c r="I16" s="7" t="n">
        <v>120406</v>
      </c>
      <c r="J16" s="7" t="n">
        <v>9.921858934813901</v>
      </c>
      <c r="K16" s="7" t="n">
        <v>12.4</v>
      </c>
      <c r="L16" s="7" t="n">
        <v>35.6</v>
      </c>
    </row>
    <row r="17">
      <c r="A17" s="7" t="inlineStr">
        <is>
          <t>98023</t>
        </is>
      </c>
      <c r="B17" s="7" t="inlineStr">
        <is>
          <t>Federal Way</t>
        </is>
      </c>
      <c r="C17" s="7" t="inlineStr">
        <is>
          <t>King</t>
        </is>
      </c>
      <c r="D17" s="7" t="n">
        <v>78.97004955828486</v>
      </c>
      <c r="E17" s="7" t="n">
        <v>81.09475876733525</v>
      </c>
      <c r="F17" s="7">
        <f>D17-E17</f>
        <v/>
      </c>
      <c r="G17" s="7">
        <f>ABS(F17)</f>
        <v/>
      </c>
      <c r="H17" s="7">
        <f>F17^2</f>
        <v/>
      </c>
      <c r="I17" s="7" t="n">
        <v>104893</v>
      </c>
      <c r="J17" s="7" t="n">
        <v>30.56992027580263</v>
      </c>
      <c r="K17" s="7" t="n">
        <v>17.4</v>
      </c>
      <c r="L17" s="7" t="n">
        <v>32.6</v>
      </c>
    </row>
    <row r="18">
      <c r="A18" s="7" t="inlineStr">
        <is>
          <t>98024</t>
        </is>
      </c>
      <c r="B18" s="7" t="inlineStr">
        <is>
          <t>Fall City</t>
        </is>
      </c>
      <c r="C18" s="7" t="inlineStr">
        <is>
          <t>King</t>
        </is>
      </c>
      <c r="D18" s="7" t="n">
        <v>236.5122615803815</v>
      </c>
      <c r="E18" s="7" t="n">
        <v>146.3749061677504</v>
      </c>
      <c r="F18" s="7">
        <f>D18-E18</f>
        <v/>
      </c>
      <c r="G18" s="7">
        <f>ABS(F18)</f>
        <v/>
      </c>
      <c r="H18" s="7">
        <f>F18^2</f>
        <v/>
      </c>
      <c r="I18" s="7" t="n">
        <v>160641</v>
      </c>
      <c r="J18" s="7" t="n">
        <v>2.070844686648501</v>
      </c>
      <c r="K18" s="7" t="n">
        <v>40.3</v>
      </c>
      <c r="L18" s="7" t="n">
        <v>28.9</v>
      </c>
    </row>
    <row r="19">
      <c r="A19" s="7" t="inlineStr">
        <is>
          <t>98026</t>
        </is>
      </c>
      <c r="B19" s="7" t="inlineStr">
        <is>
          <t>Edmonds</t>
        </is>
      </c>
      <c r="C19" s="7" t="inlineStr">
        <is>
          <t>Snohomish</t>
        </is>
      </c>
      <c r="D19" s="7" t="n">
        <v>125.2351686943434</v>
      </c>
      <c r="E19" s="7" t="n">
        <v>112.6597008753012</v>
      </c>
      <c r="F19" s="7">
        <f>D19-E19</f>
        <v/>
      </c>
      <c r="G19" s="7">
        <f>ABS(F19)</f>
        <v/>
      </c>
      <c r="H19" s="7">
        <f>F19^2</f>
        <v/>
      </c>
      <c r="I19" s="7" t="n">
        <v>133638</v>
      </c>
      <c r="J19" s="7" t="n">
        <v>25.77448890003763</v>
      </c>
      <c r="K19" s="7" t="n">
        <v>25</v>
      </c>
      <c r="L19" s="7" t="n">
        <v>27</v>
      </c>
    </row>
    <row r="20">
      <c r="A20" s="7" t="inlineStr">
        <is>
          <t>98027</t>
        </is>
      </c>
      <c r="B20" s="7" t="inlineStr">
        <is>
          <t>Issaquah</t>
        </is>
      </c>
      <c r="C20" s="7" t="inlineStr">
        <is>
          <t>King</t>
        </is>
      </c>
      <c r="D20" s="7" t="n">
        <v>204.1876318779419</v>
      </c>
      <c r="E20" s="7" t="n">
        <v>149.4284262339244</v>
      </c>
      <c r="F20" s="7">
        <f>D20-E20</f>
        <v/>
      </c>
      <c r="G20" s="7">
        <f>ABS(F20)</f>
        <v/>
      </c>
      <c r="H20" s="7">
        <f>F20^2</f>
        <v/>
      </c>
      <c r="I20" s="7" t="n">
        <v>153301</v>
      </c>
      <c r="J20" s="7" t="n">
        <v>36.34150300275929</v>
      </c>
      <c r="K20" s="7" t="n">
        <v>35.4</v>
      </c>
      <c r="L20" s="7" t="n">
        <v>26</v>
      </c>
    </row>
    <row r="21">
      <c r="A21" s="7" t="inlineStr">
        <is>
          <t>98028</t>
        </is>
      </c>
      <c r="B21" s="7" t="inlineStr">
        <is>
          <t>Kenmore</t>
        </is>
      </c>
      <c r="C21" s="7" t="inlineStr">
        <is>
          <t>King</t>
        </is>
      </c>
      <c r="D21" s="7" t="n">
        <v>165.7617047433665</v>
      </c>
      <c r="E21" s="7" t="n">
        <v>129.0946791505546</v>
      </c>
      <c r="F21" s="7">
        <f>D21-E21</f>
        <v/>
      </c>
      <c r="G21" s="7">
        <f>ABS(F21)</f>
        <v/>
      </c>
      <c r="H21" s="7">
        <f>F21^2</f>
        <v/>
      </c>
      <c r="I21" s="7" t="n">
        <v>139764</v>
      </c>
      <c r="J21" s="7" t="n">
        <v>29.83300891302121</v>
      </c>
      <c r="K21" s="7" t="n">
        <v>33.2</v>
      </c>
      <c r="L21" s="7" t="n">
        <v>28.8</v>
      </c>
    </row>
    <row r="22">
      <c r="A22" s="7" t="inlineStr">
        <is>
          <t>98029</t>
        </is>
      </c>
      <c r="B22" s="7" t="inlineStr">
        <is>
          <t>Issaquah</t>
        </is>
      </c>
      <c r="C22" s="7" t="inlineStr">
        <is>
          <t>King</t>
        </is>
      </c>
      <c r="D22" s="7" t="n">
        <v>227.5585599748467</v>
      </c>
      <c r="E22" s="7" t="n">
        <v>184.0023436551618</v>
      </c>
      <c r="F22" s="7">
        <f>D22-E22</f>
        <v/>
      </c>
      <c r="G22" s="7">
        <f>ABS(F22)</f>
        <v/>
      </c>
      <c r="H22" s="7">
        <f>F22^2</f>
        <v/>
      </c>
      <c r="I22" s="7" t="n">
        <v>170759</v>
      </c>
      <c r="J22" s="7" t="n">
        <v>43.34224178588272</v>
      </c>
      <c r="K22" s="7" t="n">
        <v>41.9</v>
      </c>
      <c r="L22" s="7" t="n">
        <v>28.6</v>
      </c>
    </row>
    <row r="23">
      <c r="A23" s="7" t="inlineStr">
        <is>
          <t>98030</t>
        </is>
      </c>
      <c r="B23" s="7" t="inlineStr">
        <is>
          <t>Kent</t>
        </is>
      </c>
      <c r="C23" s="7" t="inlineStr">
        <is>
          <t>King</t>
        </is>
      </c>
      <c r="D23" s="7" t="n">
        <v>72.36458940011649</v>
      </c>
      <c r="E23" s="7" t="n">
        <v>64.37162620183334</v>
      </c>
      <c r="F23" s="7">
        <f>D23-E23</f>
        <v/>
      </c>
      <c r="G23" s="7">
        <f>ABS(F23)</f>
        <v/>
      </c>
      <c r="H23" s="7">
        <f>F23^2</f>
        <v/>
      </c>
      <c r="I23" s="7" t="n">
        <v>91761</v>
      </c>
      <c r="J23" s="7" t="n">
        <v>43.12026790914386</v>
      </c>
      <c r="K23" s="7" t="n">
        <v>10.6</v>
      </c>
      <c r="L23" s="7" t="n">
        <v>30.8</v>
      </c>
    </row>
    <row r="24">
      <c r="A24" s="7" t="inlineStr">
        <is>
          <t>98031</t>
        </is>
      </c>
      <c r="B24" s="7" t="inlineStr">
        <is>
          <t>Kent</t>
        </is>
      </c>
      <c r="C24" s="7" t="inlineStr">
        <is>
          <t>King</t>
        </is>
      </c>
      <c r="D24" s="7" t="n">
        <v>116.6518254674978</v>
      </c>
      <c r="E24" s="7" t="n">
        <v>77.2013233262424</v>
      </c>
      <c r="F24" s="7">
        <f>D24-E24</f>
        <v/>
      </c>
      <c r="G24" s="7">
        <f>ABS(F24)</f>
        <v/>
      </c>
      <c r="H24" s="7">
        <f>F24^2</f>
        <v/>
      </c>
      <c r="I24" s="7" t="n">
        <v>105965</v>
      </c>
      <c r="J24" s="7" t="n">
        <v>25.33735187341599</v>
      </c>
      <c r="K24" s="7" t="n">
        <v>14.6</v>
      </c>
      <c r="L24" s="7" t="n">
        <v>30.5</v>
      </c>
    </row>
    <row r="25">
      <c r="A25" s="7" t="inlineStr">
        <is>
          <t>98032</t>
        </is>
      </c>
      <c r="B25" s="7" t="inlineStr">
        <is>
          <t>Kent</t>
        </is>
      </c>
      <c r="C25" s="7" t="inlineStr">
        <is>
          <t>King</t>
        </is>
      </c>
      <c r="D25" s="7" t="n">
        <v>72.20742994801573</v>
      </c>
      <c r="E25" s="7" t="n">
        <v>64.57974349180473</v>
      </c>
      <c r="F25" s="7">
        <f>D25-E25</f>
        <v/>
      </c>
      <c r="G25" s="7">
        <f>ABS(F25)</f>
        <v/>
      </c>
      <c r="H25" s="7">
        <f>F25^2</f>
        <v/>
      </c>
      <c r="I25" s="7" t="n">
        <v>82636</v>
      </c>
      <c r="J25" s="7" t="n">
        <v>56.40294154938507</v>
      </c>
      <c r="K25" s="7" t="n">
        <v>14.2</v>
      </c>
      <c r="L25" s="7" t="n">
        <v>29.9</v>
      </c>
    </row>
    <row r="26">
      <c r="A26" s="7" t="inlineStr">
        <is>
          <t>98033</t>
        </is>
      </c>
      <c r="B26" s="7" t="inlineStr">
        <is>
          <t>Kirkland</t>
        </is>
      </c>
      <c r="C26" s="7" t="inlineStr">
        <is>
          <t>King</t>
        </is>
      </c>
      <c r="D26" s="7" t="n">
        <v>252.1140503035559</v>
      </c>
      <c r="E26" s="7" t="n">
        <v>176.91607221197</v>
      </c>
      <c r="F26" s="7">
        <f>D26-E26</f>
        <v/>
      </c>
      <c r="G26" s="7">
        <f>ABS(F26)</f>
        <v/>
      </c>
      <c r="H26" s="7">
        <f>F26^2</f>
        <v/>
      </c>
      <c r="I26" s="7" t="n">
        <v>182500</v>
      </c>
      <c r="J26" s="7" t="n">
        <v>40.64939288811795</v>
      </c>
      <c r="K26" s="7" t="n">
        <v>38.6</v>
      </c>
      <c r="L26" s="7" t="n">
        <v>20.9</v>
      </c>
    </row>
    <row r="27">
      <c r="A27" s="7" t="inlineStr">
        <is>
          <t>98034</t>
        </is>
      </c>
      <c r="B27" s="7" t="inlineStr">
        <is>
          <t>Kirkland</t>
        </is>
      </c>
      <c r="C27" s="7" t="inlineStr">
        <is>
          <t>King</t>
        </is>
      </c>
      <c r="D27" s="7" t="n">
        <v>158.2160640831349</v>
      </c>
      <c r="E27" s="7" t="n">
        <v>124.9096988592487</v>
      </c>
      <c r="F27" s="7">
        <f>D27-E27</f>
        <v/>
      </c>
      <c r="G27" s="7">
        <f>ABS(F27)</f>
        <v/>
      </c>
      <c r="H27" s="7">
        <f>F27^2</f>
        <v/>
      </c>
      <c r="I27" s="7" t="n">
        <v>135219</v>
      </c>
      <c r="J27" s="7" t="n">
        <v>40.78804936133362</v>
      </c>
      <c r="K27" s="7" t="n">
        <v>30.7</v>
      </c>
      <c r="L27" s="7" t="n">
        <v>25.7</v>
      </c>
    </row>
    <row r="28">
      <c r="A28" s="7" t="inlineStr">
        <is>
          <t>98036</t>
        </is>
      </c>
      <c r="B28" s="7" t="inlineStr">
        <is>
          <t>Lynnwood</t>
        </is>
      </c>
      <c r="C28" s="7" t="inlineStr">
        <is>
          <t>Snohomish</t>
        </is>
      </c>
      <c r="D28" s="7" t="n">
        <v>109.5440939442781</v>
      </c>
      <c r="E28" s="7" t="n">
        <v>71.88646901015129</v>
      </c>
      <c r="F28" s="7">
        <f>D28-E28</f>
        <v/>
      </c>
      <c r="G28" s="7">
        <f>ABS(F28)</f>
        <v/>
      </c>
      <c r="H28" s="7">
        <f>F28^2</f>
        <v/>
      </c>
      <c r="I28" s="7" t="n">
        <v>88958</v>
      </c>
      <c r="J28" s="7" t="n">
        <v>36.65093253511398</v>
      </c>
      <c r="K28" s="7" t="n">
        <v>22.2</v>
      </c>
      <c r="L28" s="7" t="n">
        <v>30.9</v>
      </c>
    </row>
    <row r="29">
      <c r="A29" s="7" t="inlineStr">
        <is>
          <t>98037</t>
        </is>
      </c>
      <c r="B29" s="7" t="inlineStr">
        <is>
          <t>Lynnwood</t>
        </is>
      </c>
      <c r="C29" s="7" t="inlineStr">
        <is>
          <t>Snohomish</t>
        </is>
      </c>
      <c r="D29" s="7" t="n">
        <v>115.3613677575339</v>
      </c>
      <c r="E29" s="7" t="n">
        <v>89.37569586741411</v>
      </c>
      <c r="F29" s="7">
        <f>D29-E29</f>
        <v/>
      </c>
      <c r="G29" s="7">
        <f>ABS(F29)</f>
        <v/>
      </c>
      <c r="H29" s="7">
        <f>F29^2</f>
        <v/>
      </c>
      <c r="I29" s="7" t="n">
        <v>107281</v>
      </c>
      <c r="J29" s="7" t="n">
        <v>35.65322511009412</v>
      </c>
      <c r="K29" s="7" t="n">
        <v>18.8</v>
      </c>
      <c r="L29" s="7" t="n">
        <v>29.1</v>
      </c>
    </row>
    <row r="30">
      <c r="A30" s="7" t="inlineStr">
        <is>
          <t>98038</t>
        </is>
      </c>
      <c r="B30" s="7" t="inlineStr">
        <is>
          <t>Maple Valley</t>
        </is>
      </c>
      <c r="C30" s="7" t="inlineStr">
        <is>
          <t>King</t>
        </is>
      </c>
      <c r="D30" s="7" t="n">
        <v>190.5534941249227</v>
      </c>
      <c r="E30" s="7" t="n">
        <v>129.6673191694673</v>
      </c>
      <c r="F30" s="7">
        <f>D30-E30</f>
        <v/>
      </c>
      <c r="G30" s="7">
        <f>ABS(F30)</f>
        <v/>
      </c>
      <c r="H30" s="7">
        <f>F30^2</f>
        <v/>
      </c>
      <c r="I30" s="7" t="n">
        <v>152261</v>
      </c>
      <c r="J30" s="7" t="n">
        <v>8.024118738404452</v>
      </c>
      <c r="K30" s="7" t="n">
        <v>24.1</v>
      </c>
      <c r="L30" s="7" t="n">
        <v>36.5</v>
      </c>
    </row>
    <row r="31">
      <c r="A31" s="7" t="inlineStr">
        <is>
          <t>98042</t>
        </is>
      </c>
      <c r="B31" s="7" t="inlineStr">
        <is>
          <t>Kent</t>
        </is>
      </c>
      <c r="C31" s="7" t="inlineStr">
        <is>
          <t>King</t>
        </is>
      </c>
      <c r="D31" s="7" t="n">
        <v>131.4878892733564</v>
      </c>
      <c r="E31" s="7" t="n">
        <v>95.91570457422438</v>
      </c>
      <c r="F31" s="7">
        <f>D31-E31</f>
        <v/>
      </c>
      <c r="G31" s="7">
        <f>ABS(F31)</f>
        <v/>
      </c>
      <c r="H31" s="7">
        <f>F31^2</f>
        <v/>
      </c>
      <c r="I31" s="7" t="n">
        <v>127552</v>
      </c>
      <c r="J31" s="7" t="n">
        <v>8.97952237790005</v>
      </c>
      <c r="K31" s="7" t="n">
        <v>17.7</v>
      </c>
      <c r="L31" s="7" t="n">
        <v>33.5</v>
      </c>
    </row>
    <row r="32">
      <c r="A32" s="7" t="inlineStr">
        <is>
          <t>98043</t>
        </is>
      </c>
      <c r="B32" s="7" t="inlineStr">
        <is>
          <t>Mountlake Terrace</t>
        </is>
      </c>
      <c r="C32" s="7" t="inlineStr">
        <is>
          <t>Snohomish</t>
        </is>
      </c>
      <c r="D32" s="7" t="n">
        <v>74.23024122376937</v>
      </c>
      <c r="E32" s="7" t="n">
        <v>92.33838950981797</v>
      </c>
      <c r="F32" s="7">
        <f>D32-E32</f>
        <v/>
      </c>
      <c r="G32" s="7">
        <f>ABS(F32)</f>
        <v/>
      </c>
      <c r="H32" s="7">
        <f>F32^2</f>
        <v/>
      </c>
      <c r="I32" s="7" t="n">
        <v>107687</v>
      </c>
      <c r="J32" s="7" t="n">
        <v>43.17513237889782</v>
      </c>
      <c r="K32" s="7" t="n">
        <v>21.9</v>
      </c>
      <c r="L32" s="7" t="n">
        <v>27.9</v>
      </c>
    </row>
    <row r="33">
      <c r="A33" s="7" t="inlineStr">
        <is>
          <t>98045</t>
        </is>
      </c>
      <c r="B33" s="7" t="inlineStr">
        <is>
          <t>North Bend</t>
        </is>
      </c>
      <c r="C33" s="7" t="inlineStr">
        <is>
          <t>King</t>
        </is>
      </c>
      <c r="D33" s="7" t="n">
        <v>203.5490605427975</v>
      </c>
      <c r="E33" s="7" t="n">
        <v>151.8931169246092</v>
      </c>
      <c r="F33" s="7">
        <f>D33-E33</f>
        <v/>
      </c>
      <c r="G33" s="7">
        <f>ABS(F33)</f>
        <v/>
      </c>
      <c r="H33" s="7">
        <f>F33^2</f>
        <v/>
      </c>
      <c r="I33" s="7" t="n">
        <v>175765</v>
      </c>
      <c r="J33" s="7" t="n">
        <v>10.62978427279054</v>
      </c>
      <c r="K33" s="7" t="n">
        <v>27.5</v>
      </c>
      <c r="L33" s="7" t="n">
        <v>29.9</v>
      </c>
    </row>
    <row r="34">
      <c r="A34" s="7" t="inlineStr">
        <is>
          <t>98047</t>
        </is>
      </c>
      <c r="B34" s="7" t="inlineStr">
        <is>
          <t>Pacific</t>
        </is>
      </c>
      <c r="C34" s="7" t="inlineStr">
        <is>
          <t>King</t>
        </is>
      </c>
      <c r="D34" s="7" t="n">
        <v>54.71380471380471</v>
      </c>
      <c r="E34" s="7" t="n">
        <v>88.52816873370217</v>
      </c>
      <c r="F34" s="7">
        <f>D34-E34</f>
        <v/>
      </c>
      <c r="G34" s="7">
        <f>ABS(F34)</f>
        <v/>
      </c>
      <c r="H34" s="7">
        <f>F34^2</f>
        <v/>
      </c>
      <c r="I34" s="7" t="n">
        <v>115188</v>
      </c>
      <c r="J34" s="7" t="n">
        <v>31.27104377104377</v>
      </c>
      <c r="K34" s="7" t="n">
        <v>11.7</v>
      </c>
      <c r="L34" s="7" t="n">
        <v>32</v>
      </c>
    </row>
    <row r="35">
      <c r="A35" s="7" t="inlineStr">
        <is>
          <t>98051</t>
        </is>
      </c>
      <c r="B35" s="7" t="inlineStr">
        <is>
          <t>Ravensdale</t>
        </is>
      </c>
      <c r="C35" s="7" t="inlineStr">
        <is>
          <t>King</t>
        </is>
      </c>
      <c r="D35" s="7" t="n">
        <v>130.9328968903437</v>
      </c>
      <c r="E35" s="7" t="n">
        <v>103.1303310844506</v>
      </c>
      <c r="F35" s="7">
        <f>D35-E35</f>
        <v/>
      </c>
      <c r="G35" s="7">
        <f>ABS(F35)</f>
        <v/>
      </c>
      <c r="H35" s="7">
        <f>F35^2</f>
        <v/>
      </c>
      <c r="I35" s="7" t="n">
        <v>136439</v>
      </c>
      <c r="J35" s="7" t="n">
        <v>0</v>
      </c>
      <c r="K35" s="7" t="n">
        <v>15.8</v>
      </c>
      <c r="L35" s="7" t="n">
        <v>41.9</v>
      </c>
    </row>
    <row r="36">
      <c r="A36" s="7" t="inlineStr">
        <is>
          <t>98052</t>
        </is>
      </c>
      <c r="B36" s="7" t="inlineStr">
        <is>
          <t>Redmond</t>
        </is>
      </c>
      <c r="C36" s="7" t="inlineStr">
        <is>
          <t>King</t>
        </is>
      </c>
      <c r="D36" s="7" t="n">
        <v>191.8511566278364</v>
      </c>
      <c r="E36" s="7" t="n">
        <v>172.4380816791214</v>
      </c>
      <c r="F36" s="7">
        <f>D36-E36</f>
        <v/>
      </c>
      <c r="G36" s="7">
        <f>ABS(F36)</f>
        <v/>
      </c>
      <c r="H36" s="7">
        <f>F36^2</f>
        <v/>
      </c>
      <c r="I36" s="7" t="n">
        <v>163460</v>
      </c>
      <c r="J36" s="7" t="n">
        <v>53.30701705957047</v>
      </c>
      <c r="K36" s="7" t="n">
        <v>38.3</v>
      </c>
      <c r="L36" s="7" t="n">
        <v>22.3</v>
      </c>
    </row>
    <row r="37">
      <c r="A37" s="7" t="inlineStr">
        <is>
          <t>98055</t>
        </is>
      </c>
      <c r="B37" s="7" t="inlineStr">
        <is>
          <t>Renton</t>
        </is>
      </c>
      <c r="C37" s="7" t="inlineStr">
        <is>
          <t>King</t>
        </is>
      </c>
      <c r="D37" s="7" t="n">
        <v>104.9084691209012</v>
      </c>
      <c r="E37" s="7" t="n">
        <v>90.89877026990965</v>
      </c>
      <c r="F37" s="7">
        <f>D37-E37</f>
        <v/>
      </c>
      <c r="G37" s="7">
        <f>ABS(F37)</f>
        <v/>
      </c>
      <c r="H37" s="7">
        <f>F37^2</f>
        <v/>
      </c>
      <c r="I37" s="7" t="n">
        <v>97224</v>
      </c>
      <c r="J37" s="7" t="n">
        <v>44.33715550191108</v>
      </c>
      <c r="K37" s="7" t="n">
        <v>26.1</v>
      </c>
      <c r="L37" s="7" t="n">
        <v>27.8</v>
      </c>
    </row>
    <row r="38">
      <c r="A38" s="7" t="inlineStr">
        <is>
          <t>98056</t>
        </is>
      </c>
      <c r="B38" s="7" t="inlineStr">
        <is>
          <t>Renton</t>
        </is>
      </c>
      <c r="C38" s="7" t="inlineStr">
        <is>
          <t>King</t>
        </is>
      </c>
      <c r="D38" s="7" t="n">
        <v>131.3388084995437</v>
      </c>
      <c r="E38" s="7" t="n">
        <v>99.66329052098362</v>
      </c>
      <c r="F38" s="7">
        <f>D38-E38</f>
        <v/>
      </c>
      <c r="G38" s="7">
        <f>ABS(F38)</f>
        <v/>
      </c>
      <c r="H38" s="7">
        <f>F38^2</f>
        <v/>
      </c>
      <c r="I38" s="7" t="n">
        <v>113688</v>
      </c>
      <c r="J38" s="7" t="n">
        <v>36.49459001433972</v>
      </c>
      <c r="K38" s="7" t="n">
        <v>24.2</v>
      </c>
      <c r="L38" s="7" t="n">
        <v>29.6</v>
      </c>
    </row>
    <row r="39">
      <c r="A39" s="7" t="inlineStr">
        <is>
          <t>98057</t>
        </is>
      </c>
      <c r="B39" s="7" t="inlineStr">
        <is>
          <t>Renton</t>
        </is>
      </c>
      <c r="C39" s="7" t="inlineStr">
        <is>
          <t>King</t>
        </is>
      </c>
      <c r="D39" s="7" t="n">
        <v>154.228855721393</v>
      </c>
      <c r="E39" s="7" t="n">
        <v>59.98671153719749</v>
      </c>
      <c r="F39" s="7">
        <f>D39-E39</f>
        <v/>
      </c>
      <c r="G39" s="7">
        <f>ABS(F39)</f>
        <v/>
      </c>
      <c r="H39" s="7">
        <f>F39^2</f>
        <v/>
      </c>
      <c r="I39" s="7" t="n">
        <v>68552</v>
      </c>
      <c r="J39" s="7" t="n">
        <v>70.30001507613449</v>
      </c>
      <c r="K39" s="7" t="n">
        <v>18.8</v>
      </c>
      <c r="L39" s="7" t="n">
        <v>28.5</v>
      </c>
    </row>
    <row r="40">
      <c r="A40" s="7" t="inlineStr">
        <is>
          <t>98058</t>
        </is>
      </c>
      <c r="B40" s="7" t="inlineStr">
        <is>
          <t>Renton</t>
        </is>
      </c>
      <c r="C40" s="7" t="inlineStr">
        <is>
          <t>King</t>
        </is>
      </c>
      <c r="D40" s="7" t="n">
        <v>122.7096057745697</v>
      </c>
      <c r="E40" s="7" t="n">
        <v>94.48993683267291</v>
      </c>
      <c r="F40" s="7">
        <f>D40-E40</f>
        <v/>
      </c>
      <c r="G40" s="7">
        <f>ABS(F40)</f>
        <v/>
      </c>
      <c r="H40" s="7">
        <f>F40^2</f>
        <v/>
      </c>
      <c r="I40" s="7" t="n">
        <v>115201</v>
      </c>
      <c r="J40" s="7" t="n">
        <v>24.19643407983219</v>
      </c>
      <c r="K40" s="7" t="n">
        <v>21.4</v>
      </c>
      <c r="L40" s="7" t="n">
        <v>31.8</v>
      </c>
    </row>
    <row r="41">
      <c r="A41" s="7" t="inlineStr">
        <is>
          <t>98059</t>
        </is>
      </c>
      <c r="B41" s="7" t="inlineStr">
        <is>
          <t>Renton</t>
        </is>
      </c>
      <c r="C41" s="7" t="inlineStr">
        <is>
          <t>King</t>
        </is>
      </c>
      <c r="D41" s="7" t="n">
        <v>204.9443923355219</v>
      </c>
      <c r="E41" s="7" t="n">
        <v>117.0907049934668</v>
      </c>
      <c r="F41" s="7">
        <f>D41-E41</f>
        <v/>
      </c>
      <c r="G41" s="7">
        <f>ABS(F41)</f>
        <v/>
      </c>
      <c r="H41" s="7">
        <f>F41^2</f>
        <v/>
      </c>
      <c r="I41" s="7" t="n">
        <v>138654</v>
      </c>
      <c r="J41" s="7" t="n">
        <v>18.3371298405467</v>
      </c>
      <c r="K41" s="7" t="n">
        <v>23.4</v>
      </c>
      <c r="L41" s="7" t="n">
        <v>31.5</v>
      </c>
    </row>
    <row r="42">
      <c r="A42" s="7" t="inlineStr">
        <is>
          <t>98065</t>
        </is>
      </c>
      <c r="B42" s="7" t="inlineStr">
        <is>
          <t>Snoqualmie</t>
        </is>
      </c>
      <c r="C42" s="7" t="inlineStr">
        <is>
          <t>King</t>
        </is>
      </c>
      <c r="D42" s="7" t="n">
        <v>239.7985761416913</v>
      </c>
      <c r="E42" s="7" t="n">
        <v>181.8651087877142</v>
      </c>
      <c r="F42" s="7">
        <f>D42-E42</f>
        <v/>
      </c>
      <c r="G42" s="7">
        <f>ABS(F42)</f>
        <v/>
      </c>
      <c r="H42" s="7">
        <f>F42^2</f>
        <v/>
      </c>
      <c r="I42" s="7" t="n">
        <v>198216</v>
      </c>
      <c r="J42" s="7" t="n">
        <v>8.543149852404932</v>
      </c>
      <c r="K42" s="7" t="n">
        <v>31.6</v>
      </c>
      <c r="L42" s="7" t="n">
        <v>28.9</v>
      </c>
    </row>
    <row r="43">
      <c r="A43" s="7" t="inlineStr">
        <is>
          <t>98068</t>
        </is>
      </c>
      <c r="B43" s="7" t="inlineStr">
        <is>
          <t>Snoqualmie Pass</t>
        </is>
      </c>
      <c r="C43" s="7" t="inlineStr">
        <is>
          <t>Kittitas</t>
        </is>
      </c>
      <c r="D43" s="7" t="n">
        <v>52.89052890528905</v>
      </c>
      <c r="E43" s="7" t="n">
        <v>100.1680726946637</v>
      </c>
      <c r="F43" s="7">
        <f>D43-E43</f>
        <v/>
      </c>
      <c r="G43" s="7">
        <f>ABS(F43)</f>
        <v/>
      </c>
      <c r="H43" s="7">
        <f>F43^2</f>
        <v/>
      </c>
      <c r="I43" s="7" t="n">
        <v>100096</v>
      </c>
      <c r="J43" s="7" t="n">
        <v>44.28044280442804</v>
      </c>
      <c r="K43" s="7" t="n">
        <v>30.4</v>
      </c>
      <c r="L43" s="7" t="n">
        <v>32.9</v>
      </c>
    </row>
    <row r="44">
      <c r="A44" s="7" t="inlineStr">
        <is>
          <t>98070</t>
        </is>
      </c>
      <c r="B44" s="7" t="inlineStr">
        <is>
          <t>Vashon</t>
        </is>
      </c>
      <c r="C44" s="7" t="inlineStr">
        <is>
          <t>King</t>
        </is>
      </c>
      <c r="D44" s="7" t="n">
        <v>163.7994143484626</v>
      </c>
      <c r="E44" s="7" t="n">
        <v>110.1907871046042</v>
      </c>
      <c r="F44" s="7">
        <f>D44-E44</f>
        <v/>
      </c>
      <c r="G44" s="7">
        <f>ABS(F44)</f>
        <v/>
      </c>
      <c r="H44" s="7">
        <f>F44^2</f>
        <v/>
      </c>
      <c r="I44" s="7" t="n">
        <v>120571</v>
      </c>
      <c r="J44" s="7" t="n">
        <v>7.247437774524158</v>
      </c>
      <c r="K44" s="7" t="n">
        <v>39.4</v>
      </c>
      <c r="L44" s="7" t="n">
        <v>33.5</v>
      </c>
    </row>
    <row r="45">
      <c r="A45" s="7" t="inlineStr">
        <is>
          <t>98077</t>
        </is>
      </c>
      <c r="B45" s="7" t="inlineStr">
        <is>
          <t>Woodinville</t>
        </is>
      </c>
      <c r="C45" s="7" t="inlineStr">
        <is>
          <t>Snohomish</t>
        </is>
      </c>
      <c r="D45" s="7" t="n">
        <v>22.53286042144794</v>
      </c>
      <c r="E45" s="7" t="n">
        <v>173.7919417730662</v>
      </c>
      <c r="F45" s="7">
        <f>D45-E45</f>
        <v/>
      </c>
      <c r="G45" s="7">
        <f>ABS(F45)</f>
        <v/>
      </c>
      <c r="H45" s="7">
        <f>F45^2</f>
        <v/>
      </c>
      <c r="I45" s="7" t="n">
        <v>184306</v>
      </c>
      <c r="J45" s="7" t="n">
        <v>0.2920926350928437</v>
      </c>
      <c r="K45" s="7" t="n">
        <v>32.7</v>
      </c>
      <c r="L45" s="7" t="n">
        <v>27.5</v>
      </c>
    </row>
    <row r="46">
      <c r="A46" s="7" t="inlineStr">
        <is>
          <t>98087</t>
        </is>
      </c>
      <c r="B46" s="7" t="inlineStr">
        <is>
          <t>Lynnwood</t>
        </is>
      </c>
      <c r="C46" s="7" t="inlineStr">
        <is>
          <t>Snohomish</t>
        </is>
      </c>
      <c r="D46" s="7" t="n">
        <v>109.6718972895863</v>
      </c>
      <c r="E46" s="7" t="n">
        <v>97.34504964284719</v>
      </c>
      <c r="F46" s="7">
        <f>D46-E46</f>
        <v/>
      </c>
      <c r="G46" s="7">
        <f>ABS(F46)</f>
        <v/>
      </c>
      <c r="H46" s="7">
        <f>F46^2</f>
        <v/>
      </c>
      <c r="I46" s="7" t="n">
        <v>106693</v>
      </c>
      <c r="J46" s="7" t="n">
        <v>45.82025677603423</v>
      </c>
      <c r="K46" s="7" t="n">
        <v>21.4</v>
      </c>
      <c r="L46" s="7" t="n">
        <v>31.5</v>
      </c>
    </row>
    <row r="47">
      <c r="A47" s="7" t="inlineStr">
        <is>
          <t>98092</t>
        </is>
      </c>
      <c r="B47" s="7" t="inlineStr">
        <is>
          <t>Auburn</t>
        </is>
      </c>
      <c r="C47" s="7" t="inlineStr">
        <is>
          <t>King</t>
        </is>
      </c>
      <c r="D47" s="7" t="n">
        <v>100.3072998202586</v>
      </c>
      <c r="E47" s="7" t="n">
        <v>97.52005854851757</v>
      </c>
      <c r="F47" s="7">
        <f>D47-E47</f>
        <v/>
      </c>
      <c r="G47" s="7">
        <f>ABS(F47)</f>
        <v/>
      </c>
      <c r="H47" s="7">
        <f>F47^2</f>
        <v/>
      </c>
      <c r="I47" s="7" t="n">
        <v>122300</v>
      </c>
      <c r="J47" s="7" t="n">
        <v>23.37218066910187</v>
      </c>
      <c r="K47" s="7" t="n">
        <v>19.2</v>
      </c>
      <c r="L47" s="7" t="n">
        <v>33.3</v>
      </c>
    </row>
    <row r="48">
      <c r="A48" s="7" t="inlineStr">
        <is>
          <t>98101</t>
        </is>
      </c>
      <c r="B48" s="7" t="inlineStr">
        <is>
          <t>Seattle</t>
        </is>
      </c>
      <c r="C48" s="7" t="inlineStr">
        <is>
          <t>King</t>
        </is>
      </c>
      <c r="D48" s="7" t="n">
        <v>59.55097534044902</v>
      </c>
      <c r="E48" s="7" t="n">
        <v>146.2125193927425</v>
      </c>
      <c r="F48" s="7">
        <f>D48-E48</f>
        <v/>
      </c>
      <c r="G48" s="7">
        <f>ABS(F48)</f>
        <v/>
      </c>
      <c r="H48" s="7">
        <f>F48^2</f>
        <v/>
      </c>
      <c r="I48" s="7" t="n">
        <v>128882</v>
      </c>
      <c r="J48" s="7" t="n">
        <v>97.96098638203901</v>
      </c>
      <c r="K48" s="7" t="n">
        <v>35.7</v>
      </c>
      <c r="L48" s="7" t="n">
        <v>21.6</v>
      </c>
    </row>
    <row r="49">
      <c r="A49" s="7" t="inlineStr">
        <is>
          <t>98102</t>
        </is>
      </c>
      <c r="B49" s="7" t="inlineStr">
        <is>
          <t>Seattle</t>
        </is>
      </c>
      <c r="C49" s="7" t="inlineStr">
        <is>
          <t>King</t>
        </is>
      </c>
      <c r="D49" s="7" t="n">
        <v>61.82388576373864</v>
      </c>
      <c r="E49" s="7" t="n">
        <v>136.3968401264625</v>
      </c>
      <c r="F49" s="7">
        <f>D49-E49</f>
        <v/>
      </c>
      <c r="G49" s="7">
        <f>ABS(F49)</f>
        <v/>
      </c>
      <c r="H49" s="7">
        <f>F49^2</f>
        <v/>
      </c>
      <c r="I49" s="7" t="n">
        <v>114925</v>
      </c>
      <c r="J49" s="7" t="n">
        <v>82.34530506274341</v>
      </c>
      <c r="K49" s="7" t="n">
        <v>35.5</v>
      </c>
      <c r="L49" s="7" t="n">
        <v>24.9</v>
      </c>
    </row>
    <row r="50">
      <c r="A50" s="7" t="inlineStr">
        <is>
          <t>98103</t>
        </is>
      </c>
      <c r="B50" s="7" t="inlineStr">
        <is>
          <t>Seattle</t>
        </is>
      </c>
      <c r="C50" s="7" t="inlineStr">
        <is>
          <t>King</t>
        </is>
      </c>
      <c r="D50" s="7" t="n">
        <v>110.4048059795327</v>
      </c>
      <c r="E50" s="7" t="n">
        <v>138.923909018961</v>
      </c>
      <c r="F50" s="7">
        <f>D50-E50</f>
        <v/>
      </c>
      <c r="G50" s="7">
        <f>ABS(F50)</f>
        <v/>
      </c>
      <c r="H50" s="7">
        <f>F50^2</f>
        <v/>
      </c>
      <c r="I50" s="7" t="n">
        <v>131154</v>
      </c>
      <c r="J50" s="7" t="n">
        <v>51.53155670427159</v>
      </c>
      <c r="K50" s="7" t="n">
        <v>37.9</v>
      </c>
      <c r="L50" s="7" t="n">
        <v>25.3</v>
      </c>
    </row>
    <row r="51">
      <c r="A51" s="7" t="inlineStr">
        <is>
          <t>98104</t>
        </is>
      </c>
      <c r="B51" s="7" t="inlineStr">
        <is>
          <t>Seattle</t>
        </is>
      </c>
      <c r="C51" s="7" t="inlineStr">
        <is>
          <t>King</t>
        </is>
      </c>
      <c r="D51" s="7" t="n">
        <v>126.1102805382112</v>
      </c>
      <c r="E51" s="7" t="n">
        <v>66.77464813750824</v>
      </c>
      <c r="F51" s="7">
        <f>D51-E51</f>
        <v/>
      </c>
      <c r="G51" s="7">
        <f>ABS(F51)</f>
        <v/>
      </c>
      <c r="H51" s="7">
        <f>F51^2</f>
        <v/>
      </c>
      <c r="I51" s="7" t="n">
        <v>61460</v>
      </c>
      <c r="J51" s="7" t="n">
        <v>99.18212997977311</v>
      </c>
      <c r="K51" s="7" t="n">
        <v>26.9</v>
      </c>
      <c r="L51" s="7" t="n">
        <v>24.9</v>
      </c>
    </row>
    <row r="52">
      <c r="A52" s="7" t="inlineStr">
        <is>
          <t>98105</t>
        </is>
      </c>
      <c r="B52" s="7" t="inlineStr">
        <is>
          <t>Seattle</t>
        </is>
      </c>
      <c r="C52" s="7" t="inlineStr">
        <is>
          <t>King</t>
        </is>
      </c>
      <c r="D52" s="7" t="n">
        <v>101.2658227848101</v>
      </c>
      <c r="E52" s="7" t="n">
        <v>72.84298445634593</v>
      </c>
      <c r="F52" s="7">
        <f>D52-E52</f>
        <v/>
      </c>
      <c r="G52" s="7">
        <f>ABS(F52)</f>
        <v/>
      </c>
      <c r="H52" s="7">
        <f>F52^2</f>
        <v/>
      </c>
      <c r="I52" s="7" t="n">
        <v>74349</v>
      </c>
      <c r="J52" s="7" t="n">
        <v>64.63695826078772</v>
      </c>
      <c r="K52" s="7" t="n">
        <v>29.1</v>
      </c>
      <c r="L52" s="7" t="n">
        <v>25.3</v>
      </c>
    </row>
    <row r="53">
      <c r="A53" s="7" t="inlineStr">
        <is>
          <t>98106</t>
        </is>
      </c>
      <c r="B53" s="7" t="inlineStr">
        <is>
          <t>Seattle</t>
        </is>
      </c>
      <c r="C53" s="7" t="inlineStr">
        <is>
          <t>King</t>
        </is>
      </c>
      <c r="D53" s="7" t="n">
        <v>97.55899764820371</v>
      </c>
      <c r="E53" s="7" t="n">
        <v>112.7951746053169</v>
      </c>
      <c r="F53" s="7">
        <f>D53-E53</f>
        <v/>
      </c>
      <c r="G53" s="7">
        <f>ABS(F53)</f>
        <v/>
      </c>
      <c r="H53" s="7">
        <f>F53^2</f>
        <v/>
      </c>
      <c r="I53" s="7" t="n">
        <v>124212</v>
      </c>
      <c r="J53" s="7" t="n">
        <v>33.28197226502311</v>
      </c>
      <c r="K53" s="7" t="n">
        <v>25.6</v>
      </c>
      <c r="L53" s="7" t="n">
        <v>29.4</v>
      </c>
    </row>
    <row r="54">
      <c r="A54" s="7" t="inlineStr">
        <is>
          <t>98107</t>
        </is>
      </c>
      <c r="B54" s="7" t="inlineStr">
        <is>
          <t>Seattle</t>
        </is>
      </c>
      <c r="C54" s="7" t="inlineStr">
        <is>
          <t>King</t>
        </is>
      </c>
      <c r="D54" s="7" t="n">
        <v>91.98252450112173</v>
      </c>
      <c r="E54" s="7" t="n">
        <v>159.670704414538</v>
      </c>
      <c r="F54" s="7">
        <f>D54-E54</f>
        <v/>
      </c>
      <c r="G54" s="7">
        <f>ABS(F54)</f>
        <v/>
      </c>
      <c r="H54" s="7">
        <f>F54^2</f>
        <v/>
      </c>
      <c r="I54" s="7" t="n">
        <v>142662</v>
      </c>
      <c r="J54" s="7" t="n">
        <v>63.46676112882277</v>
      </c>
      <c r="K54" s="7" t="n">
        <v>41.4</v>
      </c>
      <c r="L54" s="7" t="n">
        <v>27.7</v>
      </c>
    </row>
    <row r="55">
      <c r="A55" s="7" t="inlineStr">
        <is>
          <t>98108</t>
        </is>
      </c>
      <c r="B55" s="7" t="inlineStr">
        <is>
          <t>Seattle</t>
        </is>
      </c>
      <c r="C55" s="7" t="inlineStr">
        <is>
          <t>King</t>
        </is>
      </c>
      <c r="D55" s="7" t="n">
        <v>109.0737636211232</v>
      </c>
      <c r="E55" s="7" t="n">
        <v>79.64286365818087</v>
      </c>
      <c r="F55" s="7">
        <f>D55-E55</f>
        <v/>
      </c>
      <c r="G55" s="7">
        <f>ABS(F55)</f>
        <v/>
      </c>
      <c r="H55" s="7">
        <f>F55^2</f>
        <v/>
      </c>
      <c r="I55" s="7" t="n">
        <v>95780</v>
      </c>
      <c r="J55" s="7" t="n">
        <v>25.46102263202012</v>
      </c>
      <c r="K55" s="7" t="n">
        <v>25.2</v>
      </c>
      <c r="L55" s="7" t="n">
        <v>27.2</v>
      </c>
    </row>
    <row r="56">
      <c r="A56" s="7" t="inlineStr">
        <is>
          <t>98109</t>
        </is>
      </c>
      <c r="B56" s="7" t="inlineStr">
        <is>
          <t>Seattle</t>
        </is>
      </c>
      <c r="C56" s="7" t="inlineStr">
        <is>
          <t>King</t>
        </is>
      </c>
      <c r="D56" s="7" t="n">
        <v>78.18026588608366</v>
      </c>
      <c r="E56" s="7" t="n">
        <v>152.4151675492775</v>
      </c>
      <c r="F56" s="7">
        <f>D56-E56</f>
        <v/>
      </c>
      <c r="G56" s="7">
        <f>ABS(F56)</f>
        <v/>
      </c>
      <c r="H56" s="7">
        <f>F56^2</f>
        <v/>
      </c>
      <c r="I56" s="7" t="n">
        <v>133663</v>
      </c>
      <c r="J56" s="7" t="n">
        <v>87.57165507988779</v>
      </c>
      <c r="K56" s="7" t="n">
        <v>39.3</v>
      </c>
      <c r="L56" s="7" t="n">
        <v>21.6</v>
      </c>
    </row>
    <row r="57">
      <c r="A57" s="7" t="inlineStr">
        <is>
          <t>98110</t>
        </is>
      </c>
      <c r="B57" s="7" t="inlineStr">
        <is>
          <t>Bainbridge Island</t>
        </is>
      </c>
      <c r="C57" s="7" t="inlineStr">
        <is>
          <t>Kitsap</t>
        </is>
      </c>
      <c r="D57" s="7" t="n">
        <v>230.0917431192661</v>
      </c>
      <c r="E57" s="7" t="n">
        <v>169.2399524659583</v>
      </c>
      <c r="F57" s="7">
        <f>D57-E57</f>
        <v/>
      </c>
      <c r="G57" s="7">
        <f>ABS(F57)</f>
        <v/>
      </c>
      <c r="H57" s="7">
        <f>F57^2</f>
        <v/>
      </c>
      <c r="I57" s="7" t="n">
        <v>172188</v>
      </c>
      <c r="J57" s="7" t="n">
        <v>15.61467889908257</v>
      </c>
      <c r="K57" s="7" t="n">
        <v>40.3</v>
      </c>
      <c r="L57" s="7" t="n">
        <v>37.3</v>
      </c>
    </row>
    <row r="58">
      <c r="A58" s="7" t="inlineStr">
        <is>
          <t>98112</t>
        </is>
      </c>
      <c r="B58" s="7" t="inlineStr">
        <is>
          <t>Seattle</t>
        </is>
      </c>
      <c r="C58" s="7" t="inlineStr">
        <is>
          <t>King</t>
        </is>
      </c>
      <c r="D58" s="7" t="n">
        <v>174.5852514548771</v>
      </c>
      <c r="E58" s="7" t="n">
        <v>163.7905889217251</v>
      </c>
      <c r="F58" s="7">
        <f>D58-E58</f>
        <v/>
      </c>
      <c r="G58" s="7">
        <f>ABS(F58)</f>
        <v/>
      </c>
      <c r="H58" s="7">
        <f>F58^2</f>
        <v/>
      </c>
      <c r="I58" s="7" t="n">
        <v>171572</v>
      </c>
      <c r="J58" s="7" t="n">
        <v>40.64101450534179</v>
      </c>
      <c r="K58" s="7" t="n">
        <v>34.9</v>
      </c>
      <c r="L58" s="7" t="n">
        <v>23.9</v>
      </c>
    </row>
    <row r="59">
      <c r="A59" s="7" t="inlineStr">
        <is>
          <t>98115</t>
        </is>
      </c>
      <c r="B59" s="7" t="inlineStr">
        <is>
          <t>Seattle</t>
        </is>
      </c>
      <c r="C59" s="7" t="inlineStr">
        <is>
          <t>King</t>
        </is>
      </c>
      <c r="D59" s="7" t="n">
        <v>159.1854351408616</v>
      </c>
      <c r="E59" s="7" t="n">
        <v>149.8622510444902</v>
      </c>
      <c r="F59" s="7">
        <f>D59-E59</f>
        <v/>
      </c>
      <c r="G59" s="7">
        <f>ABS(F59)</f>
        <v/>
      </c>
      <c r="H59" s="7">
        <f>F59^2</f>
        <v/>
      </c>
      <c r="I59" s="7" t="n">
        <v>156142</v>
      </c>
      <c r="J59" s="7" t="n">
        <v>36.60833398728714</v>
      </c>
      <c r="K59" s="7" t="n">
        <v>37.1</v>
      </c>
      <c r="L59" s="7" t="n">
        <v>24.9</v>
      </c>
    </row>
    <row r="60">
      <c r="A60" s="7" t="inlineStr">
        <is>
          <t>98116</t>
        </is>
      </c>
      <c r="B60" s="7" t="inlineStr">
        <is>
          <t>Seattle</t>
        </is>
      </c>
      <c r="C60" s="7" t="inlineStr">
        <is>
          <t>King</t>
        </is>
      </c>
      <c r="D60" s="7" t="n">
        <v>112.1873548729516</v>
      </c>
      <c r="E60" s="7" t="n">
        <v>137.2785107850997</v>
      </c>
      <c r="F60" s="7">
        <f>D60-E60</f>
        <v/>
      </c>
      <c r="G60" s="7">
        <f>ABS(F60)</f>
        <v/>
      </c>
      <c r="H60" s="7">
        <f>F60^2</f>
        <v/>
      </c>
      <c r="I60" s="7" t="n">
        <v>126151</v>
      </c>
      <c r="J60" s="7" t="n">
        <v>53.15464738273734</v>
      </c>
      <c r="K60" s="7" t="n">
        <v>38.8</v>
      </c>
      <c r="L60" s="7" t="n">
        <v>30.3</v>
      </c>
    </row>
    <row r="61">
      <c r="A61" s="7" t="inlineStr">
        <is>
          <t>98117</t>
        </is>
      </c>
      <c r="B61" s="7" t="inlineStr">
        <is>
          <t>Seattle</t>
        </is>
      </c>
      <c r="C61" s="7" t="inlineStr">
        <is>
          <t>King</t>
        </is>
      </c>
      <c r="D61" s="7" t="n">
        <v>173.7360890302067</v>
      </c>
      <c r="E61" s="7" t="n">
        <v>183.6583847918621</v>
      </c>
      <c r="F61" s="7">
        <f>D61-E61</f>
        <v/>
      </c>
      <c r="G61" s="7">
        <f>ABS(F61)</f>
        <v/>
      </c>
      <c r="H61" s="7">
        <f>F61^2</f>
        <v/>
      </c>
      <c r="I61" s="7" t="n">
        <v>182984</v>
      </c>
      <c r="J61" s="7" t="n">
        <v>20.6422893481717</v>
      </c>
      <c r="K61" s="7" t="n">
        <v>41.3</v>
      </c>
      <c r="L61" s="7" t="n">
        <v>27.2</v>
      </c>
    </row>
    <row r="62">
      <c r="A62" s="7" t="inlineStr">
        <is>
          <t>98118</t>
        </is>
      </c>
      <c r="B62" s="7" t="inlineStr">
        <is>
          <t>Seattle</t>
        </is>
      </c>
      <c r="C62" s="7" t="inlineStr">
        <is>
          <t>King</t>
        </is>
      </c>
      <c r="D62" s="7" t="n">
        <v>112.1266924092087</v>
      </c>
      <c r="E62" s="7" t="n">
        <v>100.8149370230838</v>
      </c>
      <c r="F62" s="7">
        <f>D62-E62</f>
        <v/>
      </c>
      <c r="G62" s="7">
        <f>ABS(F62)</f>
        <v/>
      </c>
      <c r="H62" s="7">
        <f>F62^2</f>
        <v/>
      </c>
      <c r="I62" s="7" t="n">
        <v>113762</v>
      </c>
      <c r="J62" s="7" t="n">
        <v>31.82951268390439</v>
      </c>
      <c r="K62" s="7" t="n">
        <v>28.9</v>
      </c>
      <c r="L62" s="7" t="n">
        <v>30.4</v>
      </c>
    </row>
    <row r="63">
      <c r="A63" s="7" t="inlineStr">
        <is>
          <t>98119</t>
        </is>
      </c>
      <c r="B63" s="7" t="inlineStr">
        <is>
          <t>Seattle</t>
        </is>
      </c>
      <c r="C63" s="7" t="inlineStr">
        <is>
          <t>King</t>
        </is>
      </c>
      <c r="D63" s="7" t="n">
        <v>87.15104921545151</v>
      </c>
      <c r="E63" s="7" t="n">
        <v>140.9039366110546</v>
      </c>
      <c r="F63" s="7">
        <f>D63-E63</f>
        <v/>
      </c>
      <c r="G63" s="7">
        <f>ABS(F63)</f>
        <v/>
      </c>
      <c r="H63" s="7">
        <f>F63^2</f>
        <v/>
      </c>
      <c r="I63" s="7" t="n">
        <v>123551</v>
      </c>
      <c r="J63" s="7" t="n">
        <v>73.11739870187156</v>
      </c>
      <c r="K63" s="7" t="n">
        <v>36</v>
      </c>
      <c r="L63" s="7" t="n">
        <v>24.1</v>
      </c>
    </row>
    <row r="64">
      <c r="A64" s="7" t="inlineStr">
        <is>
          <t>98121</t>
        </is>
      </c>
      <c r="B64" s="7" t="inlineStr">
        <is>
          <t>Seattle</t>
        </is>
      </c>
      <c r="C64" s="7" t="inlineStr">
        <is>
          <t>King</t>
        </is>
      </c>
      <c r="D64" s="7" t="n">
        <v>70.30688084392233</v>
      </c>
      <c r="E64" s="7" t="n">
        <v>190.496550718213</v>
      </c>
      <c r="F64" s="7">
        <f>D64-E64</f>
        <v/>
      </c>
      <c r="G64" s="7">
        <f>ABS(F64)</f>
        <v/>
      </c>
      <c r="H64" s="7">
        <f>F64^2</f>
        <v/>
      </c>
      <c r="I64" s="7" t="n">
        <v>152019</v>
      </c>
      <c r="J64" s="7" t="n">
        <v>97.99808199472548</v>
      </c>
      <c r="K64" s="7" t="n">
        <v>45.3</v>
      </c>
      <c r="L64" s="7" t="n">
        <v>20.3</v>
      </c>
    </row>
    <row r="65">
      <c r="A65" s="7" t="inlineStr">
        <is>
          <t>98122</t>
        </is>
      </c>
      <c r="B65" s="7" t="inlineStr">
        <is>
          <t>Seattle</t>
        </is>
      </c>
      <c r="C65" s="7" t="inlineStr">
        <is>
          <t>King</t>
        </is>
      </c>
      <c r="D65" s="7" t="n">
        <v>71.73963760790109</v>
      </c>
      <c r="E65" s="7" t="n">
        <v>111.2441656644386</v>
      </c>
      <c r="F65" s="7">
        <f>D65-E65</f>
        <v/>
      </c>
      <c r="G65" s="7">
        <f>ABS(F65)</f>
        <v/>
      </c>
      <c r="H65" s="7">
        <f>F65^2</f>
        <v/>
      </c>
      <c r="I65" s="7" t="n">
        <v>106886</v>
      </c>
      <c r="J65" s="7" t="n">
        <v>73.81600435492651</v>
      </c>
      <c r="K65" s="7" t="n">
        <v>31.3</v>
      </c>
      <c r="L65" s="7" t="n">
        <v>23.4</v>
      </c>
    </row>
    <row r="66">
      <c r="A66" s="7" t="inlineStr">
        <is>
          <t>98125</t>
        </is>
      </c>
      <c r="B66" s="7" t="inlineStr">
        <is>
          <t>Seattle</t>
        </is>
      </c>
      <c r="C66" s="7" t="inlineStr">
        <is>
          <t>King</t>
        </is>
      </c>
      <c r="D66" s="7" t="n">
        <v>103.1871968082695</v>
      </c>
      <c r="E66" s="7" t="n">
        <v>104.0677905716803</v>
      </c>
      <c r="F66" s="7">
        <f>D66-E66</f>
        <v/>
      </c>
      <c r="G66" s="7">
        <f>ABS(F66)</f>
        <v/>
      </c>
      <c r="H66" s="7">
        <f>F66^2</f>
        <v/>
      </c>
      <c r="I66" s="7" t="n">
        <v>99868</v>
      </c>
      <c r="J66" s="7" t="n">
        <v>50.74126127759895</v>
      </c>
      <c r="K66" s="7" t="n">
        <v>33.3</v>
      </c>
      <c r="L66" s="7" t="n">
        <v>26.6</v>
      </c>
    </row>
    <row r="67">
      <c r="A67" s="7" t="inlineStr">
        <is>
          <t>98126</t>
        </is>
      </c>
      <c r="B67" s="7" t="inlineStr">
        <is>
          <t>Seattle</t>
        </is>
      </c>
      <c r="C67" s="7" t="inlineStr">
        <is>
          <t>King</t>
        </is>
      </c>
      <c r="D67" s="7" t="n">
        <v>110.1641127935443</v>
      </c>
      <c r="E67" s="7" t="n">
        <v>123.183295696744</v>
      </c>
      <c r="F67" s="7">
        <f>D67-E67</f>
        <v/>
      </c>
      <c r="G67" s="7">
        <f>ABS(F67)</f>
        <v/>
      </c>
      <c r="H67" s="7">
        <f>F67^2</f>
        <v/>
      </c>
      <c r="I67" s="7" t="n">
        <v>116466</v>
      </c>
      <c r="J67" s="7" t="n">
        <v>35.47012421797081</v>
      </c>
      <c r="K67" s="7" t="n">
        <v>41.8</v>
      </c>
      <c r="L67" s="7" t="n">
        <v>28.2</v>
      </c>
    </row>
    <row r="68">
      <c r="A68" s="7" t="inlineStr">
        <is>
          <t>98133</t>
        </is>
      </c>
      <c r="B68" s="7" t="inlineStr">
        <is>
          <t>Shoreline</t>
        </is>
      </c>
      <c r="C68" s="7" t="inlineStr">
        <is>
          <t>King</t>
        </is>
      </c>
      <c r="D68" s="7" t="n">
        <v>89.01537610182221</v>
      </c>
      <c r="E68" s="7" t="n">
        <v>81.98283446996049</v>
      </c>
      <c r="F68" s="7">
        <f>D68-E68</f>
        <v/>
      </c>
      <c r="G68" s="7">
        <f>ABS(F68)</f>
        <v/>
      </c>
      <c r="H68" s="7">
        <f>F68^2</f>
        <v/>
      </c>
      <c r="I68" s="7" t="n">
        <v>93662</v>
      </c>
      <c r="J68" s="7" t="n">
        <v>49.97430728487292</v>
      </c>
      <c r="K68" s="7" t="n">
        <v>24.2</v>
      </c>
      <c r="L68" s="7" t="n">
        <v>27.5</v>
      </c>
    </row>
    <row r="69">
      <c r="A69" s="7" t="inlineStr">
        <is>
          <t>98136</t>
        </is>
      </c>
      <c r="B69" s="7" t="inlineStr">
        <is>
          <t>Seattle</t>
        </is>
      </c>
      <c r="C69" s="7" t="inlineStr">
        <is>
          <t>King</t>
        </is>
      </c>
      <c r="D69" s="7" t="n">
        <v>137.9269023367286</v>
      </c>
      <c r="E69" s="7" t="n">
        <v>143.1140898501188</v>
      </c>
      <c r="F69" s="7">
        <f>D69-E69</f>
        <v/>
      </c>
      <c r="G69" s="7">
        <f>ABS(F69)</f>
        <v/>
      </c>
      <c r="H69" s="7">
        <f>F69^2</f>
        <v/>
      </c>
      <c r="I69" s="7" t="n">
        <v>149269</v>
      </c>
      <c r="J69" s="7" t="n">
        <v>28.1725584182145</v>
      </c>
      <c r="K69" s="7" t="n">
        <v>38.3</v>
      </c>
      <c r="L69" s="7" t="n">
        <v>29.4</v>
      </c>
    </row>
    <row r="70">
      <c r="A70" s="7" t="inlineStr">
        <is>
          <t>98144</t>
        </is>
      </c>
      <c r="B70" s="7" t="inlineStr">
        <is>
          <t>Seattle</t>
        </is>
      </c>
      <c r="C70" s="7" t="inlineStr">
        <is>
          <t>King</t>
        </is>
      </c>
      <c r="D70" s="7" t="n">
        <v>105.9681147395247</v>
      </c>
      <c r="E70" s="7" t="n">
        <v>95.36910555152059</v>
      </c>
      <c r="F70" s="7">
        <f>D70-E70</f>
        <v/>
      </c>
      <c r="G70" s="7">
        <f>ABS(F70)</f>
        <v/>
      </c>
      <c r="H70" s="7">
        <f>F70^2</f>
        <v/>
      </c>
      <c r="I70" s="7" t="n">
        <v>96969</v>
      </c>
      <c r="J70" s="7" t="n">
        <v>47.90493688140817</v>
      </c>
      <c r="K70" s="7" t="n">
        <v>33.6</v>
      </c>
      <c r="L70" s="7" t="n">
        <v>27.1</v>
      </c>
    </row>
    <row r="71">
      <c r="A71" s="7" t="inlineStr">
        <is>
          <t>98146</t>
        </is>
      </c>
      <c r="B71" s="7" t="inlineStr">
        <is>
          <t>Seattle</t>
        </is>
      </c>
      <c r="C71" s="7" t="inlineStr">
        <is>
          <t>King</t>
        </is>
      </c>
      <c r="D71" s="7" t="n">
        <v>91.04896370712281</v>
      </c>
      <c r="E71" s="7" t="n">
        <v>79.76201190294178</v>
      </c>
      <c r="F71" s="7">
        <f>D71-E71</f>
        <v/>
      </c>
      <c r="G71" s="7">
        <f>ABS(F71)</f>
        <v/>
      </c>
      <c r="H71" s="7">
        <f>F71^2</f>
        <v/>
      </c>
      <c r="I71" s="7" t="n">
        <v>102520</v>
      </c>
      <c r="J71" s="7" t="n">
        <v>28.42791202823785</v>
      </c>
      <c r="K71" s="7" t="n">
        <v>20</v>
      </c>
      <c r="L71" s="7" t="n">
        <v>27.7</v>
      </c>
    </row>
    <row r="72">
      <c r="A72" s="7" t="inlineStr">
        <is>
          <t>98148</t>
        </is>
      </c>
      <c r="B72" s="7" t="inlineStr">
        <is>
          <t>Seatac</t>
        </is>
      </c>
      <c r="C72" s="7" t="inlineStr">
        <is>
          <t>King</t>
        </is>
      </c>
      <c r="D72" s="7" t="n">
        <v>155.2920116357127</v>
      </c>
      <c r="E72" s="7" t="n">
        <v>69.45854586956438</v>
      </c>
      <c r="F72" s="7">
        <f>D72-E72</f>
        <v/>
      </c>
      <c r="G72" s="7">
        <f>ABS(F72)</f>
        <v/>
      </c>
      <c r="H72" s="7">
        <f>F72^2</f>
        <v/>
      </c>
      <c r="I72" s="7" t="n">
        <v>87342</v>
      </c>
      <c r="J72" s="7" t="n">
        <v>57.26113224434997</v>
      </c>
      <c r="K72" s="7" t="n">
        <v>15.3</v>
      </c>
      <c r="L72" s="7" t="n">
        <v>25.9</v>
      </c>
    </row>
    <row r="73">
      <c r="A73" s="7" t="inlineStr">
        <is>
          <t>98155</t>
        </is>
      </c>
      <c r="B73" s="7" t="inlineStr">
        <is>
          <t>Lake Forest Park</t>
        </is>
      </c>
      <c r="C73" s="7" t="inlineStr">
        <is>
          <t>King</t>
        </is>
      </c>
      <c r="D73" s="7" t="n">
        <v>131.2604480106988</v>
      </c>
      <c r="E73" s="7" t="n">
        <v>120.259953347273</v>
      </c>
      <c r="F73" s="7">
        <f>D73-E73</f>
        <v/>
      </c>
      <c r="G73" s="7">
        <f>ABS(F73)</f>
        <v/>
      </c>
      <c r="H73" s="7">
        <f>F73^2</f>
        <v/>
      </c>
      <c r="I73" s="7" t="n">
        <v>131540</v>
      </c>
      <c r="J73" s="7" t="n">
        <v>26.3724506853895</v>
      </c>
      <c r="K73" s="7" t="n">
        <v>27.9</v>
      </c>
      <c r="L73" s="7" t="n">
        <v>26.6</v>
      </c>
    </row>
    <row r="74">
      <c r="A74" s="7" t="inlineStr">
        <is>
          <t>98166</t>
        </is>
      </c>
      <c r="B74" s="7" t="inlineStr">
        <is>
          <t>Burien</t>
        </is>
      </c>
      <c r="C74" s="7" t="inlineStr">
        <is>
          <t>King</t>
        </is>
      </c>
      <c r="D74" s="7" t="n">
        <v>98.03522345515627</v>
      </c>
      <c r="E74" s="7" t="n">
        <v>101.8331013348322</v>
      </c>
      <c r="F74" s="7">
        <f>D74-E74</f>
        <v/>
      </c>
      <c r="G74" s="7">
        <f>ABS(F74)</f>
        <v/>
      </c>
      <c r="H74" s="7">
        <f>F74^2</f>
        <v/>
      </c>
      <c r="I74" s="7" t="n">
        <v>114969</v>
      </c>
      <c r="J74" s="7" t="n">
        <v>30.64236994808103</v>
      </c>
      <c r="K74" s="7" t="n">
        <v>28.1</v>
      </c>
      <c r="L74" s="7" t="n">
        <v>28.5</v>
      </c>
    </row>
    <row r="75">
      <c r="A75" s="7" t="inlineStr">
        <is>
          <t>98168</t>
        </is>
      </c>
      <c r="B75" s="7" t="inlineStr">
        <is>
          <t>Tukwila</t>
        </is>
      </c>
      <c r="C75" s="7" t="inlineStr">
        <is>
          <t>King</t>
        </is>
      </c>
      <c r="D75" s="7" t="n">
        <v>90.22957821676455</v>
      </c>
      <c r="E75" s="7" t="n">
        <v>60.01427044365726</v>
      </c>
      <c r="F75" s="7">
        <f>D75-E75</f>
        <v/>
      </c>
      <c r="G75" s="7">
        <f>ABS(F75)</f>
        <v/>
      </c>
      <c r="H75" s="7">
        <f>F75^2</f>
        <v/>
      </c>
      <c r="I75" s="7" t="n">
        <v>88083</v>
      </c>
      <c r="J75" s="7" t="n">
        <v>34.73419266264968</v>
      </c>
      <c r="K75" s="7" t="n">
        <v>13.4</v>
      </c>
      <c r="L75" s="7" t="n">
        <v>25.7</v>
      </c>
    </row>
    <row r="76">
      <c r="A76" s="7" t="inlineStr">
        <is>
          <t>98177</t>
        </is>
      </c>
      <c r="B76" s="7" t="inlineStr">
        <is>
          <t>Shoreline</t>
        </is>
      </c>
      <c r="C76" s="7" t="inlineStr">
        <is>
          <t>King</t>
        </is>
      </c>
      <c r="D76" s="7" t="n">
        <v>207.1290944123314</v>
      </c>
      <c r="E76" s="7" t="n">
        <v>159.9987063056785</v>
      </c>
      <c r="F76" s="7">
        <f>D76-E76</f>
        <v/>
      </c>
      <c r="G76" s="7">
        <f>ABS(F76)</f>
        <v/>
      </c>
      <c r="H76" s="7">
        <f>F76^2</f>
        <v/>
      </c>
      <c r="I76" s="7" t="n">
        <v>169918</v>
      </c>
      <c r="J76" s="7" t="n">
        <v>9.86271676300578</v>
      </c>
      <c r="K76" s="7" t="n">
        <v>34.9</v>
      </c>
      <c r="L76" s="7" t="n">
        <v>29</v>
      </c>
    </row>
    <row r="77">
      <c r="A77" s="7" t="inlineStr">
        <is>
          <t>98178</t>
        </is>
      </c>
      <c r="B77" s="7" t="inlineStr">
        <is>
          <t>Seattle</t>
        </is>
      </c>
      <c r="C77" s="7" t="inlineStr">
        <is>
          <t>King</t>
        </is>
      </c>
      <c r="D77" s="7" t="n">
        <v>101.5218261914297</v>
      </c>
      <c r="E77" s="7" t="n">
        <v>75.94175023419481</v>
      </c>
      <c r="F77" s="7">
        <f>D77-E77</f>
        <v/>
      </c>
      <c r="G77" s="7">
        <f>ABS(F77)</f>
        <v/>
      </c>
      <c r="H77" s="7">
        <f>F77^2</f>
        <v/>
      </c>
      <c r="I77" s="7" t="n">
        <v>99505</v>
      </c>
      <c r="J77" s="7" t="n">
        <v>23.7184621545855</v>
      </c>
      <c r="K77" s="7" t="n">
        <v>20.1</v>
      </c>
      <c r="L77" s="7" t="n">
        <v>30.6</v>
      </c>
    </row>
    <row r="78">
      <c r="A78" s="7" t="inlineStr">
        <is>
          <t>98188</t>
        </is>
      </c>
      <c r="B78" s="7" t="inlineStr">
        <is>
          <t>Tukwila</t>
        </is>
      </c>
      <c r="C78" s="7" t="inlineStr">
        <is>
          <t>King</t>
        </is>
      </c>
      <c r="D78" s="7" t="n">
        <v>138.567758509955</v>
      </c>
      <c r="E78" s="7" t="n">
        <v>55.54247053626902</v>
      </c>
      <c r="F78" s="7">
        <f>D78-E78</f>
        <v/>
      </c>
      <c r="G78" s="7">
        <f>ABS(F78)</f>
        <v/>
      </c>
      <c r="H78" s="7">
        <f>F78^2</f>
        <v/>
      </c>
      <c r="I78" s="7" t="n">
        <v>76438</v>
      </c>
      <c r="J78" s="7" t="n">
        <v>60.6053307642903</v>
      </c>
      <c r="K78" s="7" t="n">
        <v>11.8</v>
      </c>
      <c r="L78" s="7" t="n">
        <v>24.2</v>
      </c>
    </row>
    <row r="79">
      <c r="A79" s="7" t="inlineStr">
        <is>
          <t>98198</t>
        </is>
      </c>
      <c r="B79" s="7" t="inlineStr">
        <is>
          <t>Des Moines</t>
        </is>
      </c>
      <c r="C79" s="7" t="inlineStr">
        <is>
          <t>King</t>
        </is>
      </c>
      <c r="D79" s="7" t="n">
        <v>64.35351882160393</v>
      </c>
      <c r="E79" s="7" t="n">
        <v>64.54671303650458</v>
      </c>
      <c r="F79" s="7">
        <f>D79-E79</f>
        <v/>
      </c>
      <c r="G79" s="7">
        <f>ABS(F79)</f>
        <v/>
      </c>
      <c r="H79" s="7">
        <f>F79^2</f>
        <v/>
      </c>
      <c r="I79" s="7" t="n">
        <v>86239</v>
      </c>
      <c r="J79" s="7" t="n">
        <v>45.38134206219313</v>
      </c>
      <c r="K79" s="7" t="n">
        <v>14.6</v>
      </c>
      <c r="L79" s="7" t="n">
        <v>30.3</v>
      </c>
    </row>
    <row r="80">
      <c r="A80" s="7" t="inlineStr">
        <is>
          <t>98199</t>
        </is>
      </c>
      <c r="B80" s="7" t="inlineStr">
        <is>
          <t>Seattle</t>
        </is>
      </c>
      <c r="C80" s="7" t="inlineStr">
        <is>
          <t>King</t>
        </is>
      </c>
      <c r="D80" s="7" t="n">
        <v>162.5735362778971</v>
      </c>
      <c r="E80" s="7" t="n">
        <v>176.7917214330384</v>
      </c>
      <c r="F80" s="7">
        <f>D80-E80</f>
        <v/>
      </c>
      <c r="G80" s="7">
        <f>ABS(F80)</f>
        <v/>
      </c>
      <c r="H80" s="7">
        <f>F80^2</f>
        <v/>
      </c>
      <c r="I80" s="7" t="n">
        <v>180789</v>
      </c>
      <c r="J80" s="7" t="n">
        <v>32.36530021477262</v>
      </c>
      <c r="K80" s="7" t="n">
        <v>36.5</v>
      </c>
      <c r="L80" s="7" t="n">
        <v>26</v>
      </c>
    </row>
    <row r="81">
      <c r="A81" s="7" t="inlineStr">
        <is>
          <t>98201</t>
        </is>
      </c>
      <c r="B81" s="7" t="inlineStr">
        <is>
          <t>Everett</t>
        </is>
      </c>
      <c r="C81" s="7" t="inlineStr">
        <is>
          <t>Snohomish</t>
        </is>
      </c>
      <c r="D81" s="7" t="n">
        <v>45.20714605878209</v>
      </c>
      <c r="E81" s="7" t="n">
        <v>54.79942047945062</v>
      </c>
      <c r="F81" s="7">
        <f>D81-E81</f>
        <v/>
      </c>
      <c r="G81" s="7">
        <f>ABS(F81)</f>
        <v/>
      </c>
      <c r="H81" s="7">
        <f>F81^2</f>
        <v/>
      </c>
      <c r="I81" s="7" t="n">
        <v>74554</v>
      </c>
      <c r="J81" s="7" t="n">
        <v>52.34680156239995</v>
      </c>
      <c r="K81" s="7" t="n">
        <v>14.8</v>
      </c>
      <c r="L81" s="7" t="n">
        <v>27.7</v>
      </c>
    </row>
    <row r="82">
      <c r="A82" s="7" t="inlineStr">
        <is>
          <t>98203</t>
        </is>
      </c>
      <c r="B82" s="7" t="inlineStr">
        <is>
          <t>Everett</t>
        </is>
      </c>
      <c r="C82" s="7" t="inlineStr">
        <is>
          <t>Snohomish</t>
        </is>
      </c>
      <c r="D82" s="7" t="n">
        <v>70.16362534509462</v>
      </c>
      <c r="E82" s="7" t="n">
        <v>77.87924503062763</v>
      </c>
      <c r="F82" s="7">
        <f>D82-E82</f>
        <v/>
      </c>
      <c r="G82" s="7">
        <f>ABS(F82)</f>
        <v/>
      </c>
      <c r="H82" s="7">
        <f>F82^2</f>
        <v/>
      </c>
      <c r="I82" s="7" t="n">
        <v>107376</v>
      </c>
      <c r="J82" s="7" t="n">
        <v>26.52346643323682</v>
      </c>
      <c r="K82" s="7" t="n">
        <v>13.5</v>
      </c>
      <c r="L82" s="7" t="n">
        <v>27.3</v>
      </c>
    </row>
    <row r="83">
      <c r="A83" s="7" t="inlineStr">
        <is>
          <t>98204</t>
        </is>
      </c>
      <c r="B83" s="7" t="inlineStr">
        <is>
          <t>Everett</t>
        </is>
      </c>
      <c r="C83" s="7" t="inlineStr">
        <is>
          <t>Snohomish</t>
        </is>
      </c>
      <c r="D83" s="7" t="n">
        <v>44.35505213571165</v>
      </c>
      <c r="E83" s="7" t="n">
        <v>45.28206635194568</v>
      </c>
      <c r="F83" s="7">
        <f>D83-E83</f>
        <v/>
      </c>
      <c r="G83" s="7">
        <f>ABS(F83)</f>
        <v/>
      </c>
      <c r="H83" s="7">
        <f>F83^2</f>
        <v/>
      </c>
      <c r="I83" s="7" t="n">
        <v>68513</v>
      </c>
      <c r="J83" s="7" t="n">
        <v>65.66982480283703</v>
      </c>
      <c r="K83" s="7" t="n">
        <v>9.5</v>
      </c>
      <c r="L83" s="7" t="n">
        <v>26.2</v>
      </c>
    </row>
    <row r="84">
      <c r="A84" s="7" t="inlineStr">
        <is>
          <t>98208</t>
        </is>
      </c>
      <c r="B84" s="7" t="inlineStr">
        <is>
          <t>Everett</t>
        </is>
      </c>
      <c r="C84" s="7" t="inlineStr">
        <is>
          <t>Snohomish</t>
        </is>
      </c>
      <c r="D84" s="7" t="n">
        <v>91.08751895798021</v>
      </c>
      <c r="E84" s="7" t="n">
        <v>75.7169029689928</v>
      </c>
      <c r="F84" s="7">
        <f>D84-E84</f>
        <v/>
      </c>
      <c r="G84" s="7">
        <f>ABS(F84)</f>
        <v/>
      </c>
      <c r="H84" s="7">
        <f>F84^2</f>
        <v/>
      </c>
      <c r="I84" s="7" t="n">
        <v>103705</v>
      </c>
      <c r="J84" s="7" t="n">
        <v>24.81042019805513</v>
      </c>
      <c r="K84" s="7" t="n">
        <v>16.4</v>
      </c>
      <c r="L84" s="7" t="n">
        <v>27.2</v>
      </c>
    </row>
    <row r="85">
      <c r="A85" s="7" t="inlineStr">
        <is>
          <t>98220</t>
        </is>
      </c>
      <c r="B85" s="7" t="inlineStr">
        <is>
          <t>Acme</t>
        </is>
      </c>
      <c r="C85" s="7" t="inlineStr">
        <is>
          <t>Whatcom</t>
        </is>
      </c>
      <c r="D85" s="7" t="n">
        <v>63.41463414634146</v>
      </c>
      <c r="E85" s="7" t="n">
        <v>49.4311983827724</v>
      </c>
      <c r="F85" s="7">
        <f>D85-E85</f>
        <v/>
      </c>
      <c r="G85" s="7">
        <f>ABS(F85)</f>
        <v/>
      </c>
      <c r="H85" s="7">
        <f>F85^2</f>
        <v/>
      </c>
      <c r="I85" s="7" t="n">
        <v>92266</v>
      </c>
      <c r="J85" s="7" t="n">
        <v>2.439024390243902</v>
      </c>
      <c r="K85" s="7" t="n">
        <v>7.6</v>
      </c>
      <c r="L85" s="7" t="n">
        <v>36.7</v>
      </c>
    </row>
    <row r="86">
      <c r="A86" s="7" t="inlineStr">
        <is>
          <t>98221</t>
        </is>
      </c>
      <c r="B86" s="7" t="inlineStr">
        <is>
          <t>Anacortes</t>
        </is>
      </c>
      <c r="C86" s="7" t="inlineStr">
        <is>
          <t>Skagit</t>
        </is>
      </c>
      <c r="D86" s="7" t="n">
        <v>85.65913295262608</v>
      </c>
      <c r="E86" s="7" t="n">
        <v>64.88417691391703</v>
      </c>
      <c r="F86" s="7">
        <f>D86-E86</f>
        <v/>
      </c>
      <c r="G86" s="7">
        <f>ABS(F86)</f>
        <v/>
      </c>
      <c r="H86" s="7">
        <f>F86^2</f>
        <v/>
      </c>
      <c r="I86" s="7" t="n">
        <v>96528</v>
      </c>
      <c r="J86" s="7" t="n">
        <v>12.14509772379957</v>
      </c>
      <c r="K86" s="7" t="n">
        <v>18.1</v>
      </c>
      <c r="L86" s="7" t="n">
        <v>24.2</v>
      </c>
    </row>
    <row r="87">
      <c r="A87" s="7" t="inlineStr">
        <is>
          <t>98222</t>
        </is>
      </c>
      <c r="B87" s="7" t="inlineStr">
        <is>
          <t>Blakely Island</t>
        </is>
      </c>
      <c r="C87" s="7" t="inlineStr">
        <is>
          <t>San Juan</t>
        </is>
      </c>
      <c r="D87" s="7" t="n">
        <v>3.174603174603174</v>
      </c>
      <c r="E87" s="7" t="n">
        <v>51.26254536427114</v>
      </c>
      <c r="F87" s="7">
        <f>D87-E87</f>
        <v/>
      </c>
      <c r="G87" s="7">
        <f>ABS(F87)</f>
        <v/>
      </c>
      <c r="H87" s="7">
        <f>F87^2</f>
        <v/>
      </c>
      <c r="I87" s="7" t="n">
        <v>106333</v>
      </c>
      <c r="J87" s="7" t="n">
        <v>6.031746031746032</v>
      </c>
      <c r="K87" s="7" t="n">
        <v>2.1</v>
      </c>
      <c r="L87" s="7" t="n">
        <v>15.3</v>
      </c>
    </row>
    <row r="88">
      <c r="A88" s="7" t="inlineStr">
        <is>
          <t>98223</t>
        </is>
      </c>
      <c r="B88" s="7" t="inlineStr">
        <is>
          <t>Arlington</t>
        </is>
      </c>
      <c r="C88" s="7" t="inlineStr">
        <is>
          <t>Snohomish</t>
        </is>
      </c>
      <c r="D88" s="7" t="n">
        <v>59.74945533769063</v>
      </c>
      <c r="E88" s="7" t="n">
        <v>67.03525773696373</v>
      </c>
      <c r="F88" s="7">
        <f>D88-E88</f>
        <v/>
      </c>
      <c r="G88" s="7">
        <f>ABS(F88)</f>
        <v/>
      </c>
      <c r="H88" s="7">
        <f>F88^2</f>
        <v/>
      </c>
      <c r="I88" s="7" t="n">
        <v>99681</v>
      </c>
      <c r="J88" s="7" t="n">
        <v>13.30610021786493</v>
      </c>
      <c r="K88" s="7" t="n">
        <v>14.2</v>
      </c>
      <c r="L88" s="7" t="n">
        <v>33.8</v>
      </c>
    </row>
    <row r="89">
      <c r="A89" s="7" t="inlineStr">
        <is>
          <t>98224</t>
        </is>
      </c>
      <c r="B89" s="7" t="inlineStr">
        <is>
          <t>Baring</t>
        </is>
      </c>
      <c r="C89" s="7" t="inlineStr">
        <is>
          <t>King</t>
        </is>
      </c>
      <c r="D89" s="7" t="n">
        <v>35.71428571428572</v>
      </c>
      <c r="E89" s="7" t="n">
        <v>55.9808212749258</v>
      </c>
      <c r="F89" s="7">
        <f>D89-E89</f>
        <v/>
      </c>
      <c r="G89" s="7">
        <f>ABS(F89)</f>
        <v/>
      </c>
      <c r="H89" s="7">
        <f>F89^2</f>
        <v/>
      </c>
      <c r="I89" s="7" t="n">
        <v>78636</v>
      </c>
      <c r="J89" s="7" t="n">
        <v>0</v>
      </c>
      <c r="K89" s="7" t="n">
        <v>21.7</v>
      </c>
      <c r="L89" s="7" t="n">
        <v>42.2</v>
      </c>
    </row>
    <row r="90">
      <c r="A90" s="7" t="inlineStr">
        <is>
          <t>98225</t>
        </is>
      </c>
      <c r="B90" s="7" t="inlineStr">
        <is>
          <t>Bellingham</t>
        </is>
      </c>
      <c r="C90" s="7" t="inlineStr">
        <is>
          <t>Whatcom</t>
        </is>
      </c>
      <c r="D90" s="7" t="n">
        <v>65.60627969427804</v>
      </c>
      <c r="E90" s="7" t="n">
        <v>39.23199261923595</v>
      </c>
      <c r="F90" s="7">
        <f>D90-E90</f>
        <v/>
      </c>
      <c r="G90" s="7">
        <f>ABS(F90)</f>
        <v/>
      </c>
      <c r="H90" s="7">
        <f>F90^2</f>
        <v/>
      </c>
      <c r="I90" s="7" t="n">
        <v>63941</v>
      </c>
      <c r="J90" s="7" t="n">
        <v>54.69531088618054</v>
      </c>
      <c r="K90" s="7" t="n">
        <v>14.9</v>
      </c>
      <c r="L90" s="7" t="n">
        <v>18.9</v>
      </c>
    </row>
    <row r="91">
      <c r="A91" s="7" t="inlineStr">
        <is>
          <t>98226</t>
        </is>
      </c>
      <c r="B91" s="7" t="inlineStr">
        <is>
          <t>Bellingham</t>
        </is>
      </c>
      <c r="C91" s="7" t="inlineStr">
        <is>
          <t>Whatcom</t>
        </is>
      </c>
      <c r="D91" s="7" t="n">
        <v>76.83508102955196</v>
      </c>
      <c r="E91" s="7" t="n">
        <v>47.86495644367262</v>
      </c>
      <c r="F91" s="7">
        <f>D91-E91</f>
        <v/>
      </c>
      <c r="G91" s="7">
        <f>ABS(F91)</f>
        <v/>
      </c>
      <c r="H91" s="7">
        <f>F91^2</f>
        <v/>
      </c>
      <c r="I91" s="7" t="n">
        <v>79375</v>
      </c>
      <c r="J91" s="7" t="n">
        <v>31.32983794089609</v>
      </c>
      <c r="K91" s="7" t="n">
        <v>13.2</v>
      </c>
      <c r="L91" s="7" t="n">
        <v>19.2</v>
      </c>
    </row>
    <row r="92">
      <c r="A92" s="7" t="inlineStr">
        <is>
          <t>98229</t>
        </is>
      </c>
      <c r="B92" s="7" t="inlineStr">
        <is>
          <t>Bellingham</t>
        </is>
      </c>
      <c r="C92" s="7" t="inlineStr">
        <is>
          <t>Whatcom</t>
        </is>
      </c>
      <c r="D92" s="7" t="n">
        <v>113.4566458089803</v>
      </c>
      <c r="E92" s="7" t="n">
        <v>60.82515318765758</v>
      </c>
      <c r="F92" s="7">
        <f>D92-E92</f>
        <v/>
      </c>
      <c r="G92" s="7">
        <f>ABS(F92)</f>
        <v/>
      </c>
      <c r="H92" s="7">
        <f>F92^2</f>
        <v/>
      </c>
      <c r="I92" s="7" t="n">
        <v>90945</v>
      </c>
      <c r="J92" s="7" t="n">
        <v>20.82101354603589</v>
      </c>
      <c r="K92" s="7" t="n">
        <v>17.5</v>
      </c>
      <c r="L92" s="7" t="n">
        <v>20.8</v>
      </c>
    </row>
    <row r="93">
      <c r="A93" s="7" t="inlineStr">
        <is>
          <t>98230</t>
        </is>
      </c>
      <c r="B93" s="7" t="inlineStr">
        <is>
          <t>Blaine</t>
        </is>
      </c>
      <c r="C93" s="7" t="inlineStr">
        <is>
          <t>Whatcom</t>
        </is>
      </c>
      <c r="D93" s="7" t="n">
        <v>74.36297451898076</v>
      </c>
      <c r="E93" s="7" t="n">
        <v>54.32622459487777</v>
      </c>
      <c r="F93" s="7">
        <f>D93-E93</f>
        <v/>
      </c>
      <c r="G93" s="7">
        <f>ABS(F93)</f>
        <v/>
      </c>
      <c r="H93" s="7">
        <f>F93^2</f>
        <v/>
      </c>
      <c r="I93" s="7" t="n">
        <v>86623</v>
      </c>
      <c r="J93" s="7" t="n">
        <v>11.93967758710348</v>
      </c>
      <c r="K93" s="7" t="n">
        <v>16.8</v>
      </c>
      <c r="L93" s="7" t="n">
        <v>23.3</v>
      </c>
    </row>
    <row r="94">
      <c r="A94" s="7" t="inlineStr">
        <is>
          <t>98232</t>
        </is>
      </c>
      <c r="B94" s="7" t="inlineStr">
        <is>
          <t>Bow</t>
        </is>
      </c>
      <c r="C94" s="7" t="inlineStr">
        <is>
          <t>Skagit</t>
        </is>
      </c>
      <c r="D94" s="7" t="n">
        <v>102.8349082823791</v>
      </c>
      <c r="E94" s="7" t="n">
        <v>61.15268298506903</v>
      </c>
      <c r="F94" s="7">
        <f>D94-E94</f>
        <v/>
      </c>
      <c r="G94" s="7">
        <f>ABS(F94)</f>
        <v/>
      </c>
      <c r="H94" s="7">
        <f>F94^2</f>
        <v/>
      </c>
      <c r="I94" s="7" t="n">
        <v>104559</v>
      </c>
      <c r="J94" s="7" t="n">
        <v>0.6114508060033352</v>
      </c>
      <c r="K94" s="7" t="n">
        <v>11.3</v>
      </c>
      <c r="L94" s="7" t="n">
        <v>26.7</v>
      </c>
    </row>
    <row r="95">
      <c r="A95" s="7" t="inlineStr">
        <is>
          <t>98233</t>
        </is>
      </c>
      <c r="B95" s="7" t="inlineStr">
        <is>
          <t>Burlington</t>
        </is>
      </c>
      <c r="C95" s="7" t="inlineStr">
        <is>
          <t>Skagit</t>
        </is>
      </c>
      <c r="D95" s="7" t="n">
        <v>57.6603982300885</v>
      </c>
      <c r="E95" s="7" t="n">
        <v>49.7634534032308</v>
      </c>
      <c r="F95" s="7">
        <f>D95-E95</f>
        <v/>
      </c>
      <c r="G95" s="7">
        <f>ABS(F95)</f>
        <v/>
      </c>
      <c r="H95" s="7">
        <f>F95^2</f>
        <v/>
      </c>
      <c r="I95" s="7" t="n">
        <v>87614</v>
      </c>
      <c r="J95" s="7" t="n">
        <v>27.0879424778761</v>
      </c>
      <c r="K95" s="7" t="n">
        <v>7</v>
      </c>
      <c r="L95" s="7" t="n">
        <v>24.7</v>
      </c>
    </row>
    <row r="96">
      <c r="A96" s="7" t="inlineStr">
        <is>
          <t>98235</t>
        </is>
      </c>
      <c r="B96" s="7" t="inlineStr">
        <is>
          <t>Clearlake</t>
        </is>
      </c>
      <c r="C96" s="7" t="inlineStr">
        <is>
          <t>Skagit</t>
        </is>
      </c>
      <c r="D96" s="7" t="n">
        <v>19.51219512195122</v>
      </c>
      <c r="E96" s="7" t="n">
        <v>11.91659878725715</v>
      </c>
      <c r="F96" s="7">
        <f>D96-E96</f>
        <v/>
      </c>
      <c r="G96" s="7">
        <f>ABS(F96)</f>
        <v/>
      </c>
      <c r="H96" s="7">
        <f>F96^2</f>
        <v/>
      </c>
      <c r="I96" s="7" t="n">
        <v>63307</v>
      </c>
      <c r="J96" s="7" t="n">
        <v>2.439024390243902</v>
      </c>
      <c r="K96" s="7" t="n">
        <v>0</v>
      </c>
      <c r="L96" s="7" t="n">
        <v>30.7</v>
      </c>
    </row>
    <row r="97">
      <c r="A97" s="7" t="inlineStr">
        <is>
          <t>98236</t>
        </is>
      </c>
      <c r="B97" s="7" t="inlineStr">
        <is>
          <t>Clinton</t>
        </is>
      </c>
      <c r="C97" s="7" t="inlineStr">
        <is>
          <t>Island</t>
        </is>
      </c>
      <c r="D97" s="7" t="n">
        <v>105.4665930425179</v>
      </c>
      <c r="E97" s="7" t="n">
        <v>70.73305988220412</v>
      </c>
      <c r="F97" s="7">
        <f>D97-E97</f>
        <v/>
      </c>
      <c r="G97" s="7">
        <f>ABS(F97)</f>
        <v/>
      </c>
      <c r="H97" s="7">
        <f>F97^2</f>
        <v/>
      </c>
      <c r="I97" s="7" t="n">
        <v>94362</v>
      </c>
      <c r="J97" s="7" t="n">
        <v>1.270016565433462</v>
      </c>
      <c r="K97" s="7" t="n">
        <v>26.5</v>
      </c>
      <c r="L97" s="7" t="n">
        <v>37.1</v>
      </c>
    </row>
    <row r="98">
      <c r="A98" s="7" t="inlineStr">
        <is>
          <t>98237</t>
        </is>
      </c>
      <c r="B98" s="7" t="inlineStr">
        <is>
          <t>Concrete</t>
        </is>
      </c>
      <c r="C98" s="7" t="inlineStr">
        <is>
          <t>Skagit</t>
        </is>
      </c>
      <c r="D98" s="7" t="n">
        <v>27.27272727272727</v>
      </c>
      <c r="E98" s="7" t="n">
        <v>22.49856173490617</v>
      </c>
      <c r="F98" s="7">
        <f>D98-E98</f>
        <v/>
      </c>
      <c r="G98" s="7">
        <f>ABS(F98)</f>
        <v/>
      </c>
      <c r="H98" s="7">
        <f>F98^2</f>
        <v/>
      </c>
      <c r="I98" s="7" t="n">
        <v>61711</v>
      </c>
      <c r="J98" s="7" t="n">
        <v>2.56198347107438</v>
      </c>
      <c r="K98" s="7" t="n">
        <v>9.199999999999999</v>
      </c>
      <c r="L98" s="7" t="n">
        <v>42.6</v>
      </c>
    </row>
    <row r="99">
      <c r="A99" s="7" t="inlineStr">
        <is>
          <t>98239</t>
        </is>
      </c>
      <c r="B99" s="7" t="inlineStr">
        <is>
          <t>Coupeville</t>
        </is>
      </c>
      <c r="C99" s="7" t="inlineStr">
        <is>
          <t>Island</t>
        </is>
      </c>
      <c r="D99" s="7" t="n">
        <v>87.76595744680851</v>
      </c>
      <c r="E99" s="7" t="n">
        <v>62.92812090819066</v>
      </c>
      <c r="F99" s="7">
        <f>D99-E99</f>
        <v/>
      </c>
      <c r="G99" s="7">
        <f>ABS(F99)</f>
        <v/>
      </c>
      <c r="H99" s="7">
        <f>F99^2</f>
        <v/>
      </c>
      <c r="I99" s="7" t="n">
        <v>92125</v>
      </c>
      <c r="J99" s="7" t="n">
        <v>5.343326885880077</v>
      </c>
      <c r="K99" s="7" t="n">
        <v>19.3</v>
      </c>
      <c r="L99" s="7" t="n">
        <v>31.5</v>
      </c>
    </row>
    <row r="100">
      <c r="A100" s="7" t="inlineStr">
        <is>
          <t>98240</t>
        </is>
      </c>
      <c r="B100" s="7" t="inlineStr">
        <is>
          <t>Custer</t>
        </is>
      </c>
      <c r="C100" s="7" t="inlineStr">
        <is>
          <t>Whatcom</t>
        </is>
      </c>
      <c r="D100" s="7" t="n">
        <v>32.71375464684015</v>
      </c>
      <c r="E100" s="7" t="n">
        <v>68.21405529928921</v>
      </c>
      <c r="F100" s="7">
        <f>D100-E100</f>
        <v/>
      </c>
      <c r="G100" s="7">
        <f>ABS(F100)</f>
        <v/>
      </c>
      <c r="H100" s="7">
        <f>F100^2</f>
        <v/>
      </c>
      <c r="I100" s="7" t="n">
        <v>110116</v>
      </c>
      <c r="J100" s="7" t="n">
        <v>0</v>
      </c>
      <c r="K100" s="7" t="n">
        <v>15.5</v>
      </c>
      <c r="L100" s="7" t="n">
        <v>19.8</v>
      </c>
    </row>
    <row r="101">
      <c r="A101" s="7" t="inlineStr">
        <is>
          <t>98241</t>
        </is>
      </c>
      <c r="B101" s="7" t="inlineStr">
        <is>
          <t>Darrington</t>
        </is>
      </c>
      <c r="C101" s="7" t="inlineStr">
        <is>
          <t>Skagit</t>
        </is>
      </c>
      <c r="D101" s="7" t="n">
        <v>28.51885924563017</v>
      </c>
      <c r="E101" s="7" t="n">
        <v>32.86609490176721</v>
      </c>
      <c r="F101" s="7">
        <f>D101-E101</f>
        <v/>
      </c>
      <c r="G101" s="7">
        <f>ABS(F101)</f>
        <v/>
      </c>
      <c r="H101" s="7">
        <f>F101^2</f>
        <v/>
      </c>
      <c r="I101" s="7" t="n">
        <v>73185</v>
      </c>
      <c r="J101" s="7" t="n">
        <v>7.727690892364306</v>
      </c>
      <c r="K101" s="7" t="n">
        <v>9</v>
      </c>
      <c r="L101" s="7" t="n">
        <v>31.5</v>
      </c>
    </row>
    <row r="102">
      <c r="A102" s="7" t="inlineStr">
        <is>
          <t>98243</t>
        </is>
      </c>
      <c r="B102" s="7" t="inlineStr">
        <is>
          <t>Deer Harbor</t>
        </is>
      </c>
      <c r="C102" s="7" t="inlineStr">
        <is>
          <t>San Juan</t>
        </is>
      </c>
      <c r="D102" s="7" t="n">
        <v>11.3960113960114</v>
      </c>
      <c r="E102" s="7" t="n">
        <v>127.3356345802387</v>
      </c>
      <c r="F102" s="7">
        <f>D102-E102</f>
        <v/>
      </c>
      <c r="G102" s="7">
        <f>ABS(F102)</f>
        <v/>
      </c>
      <c r="H102" s="7">
        <f>F102^2</f>
        <v/>
      </c>
      <c r="I102" s="7" t="n">
        <v>139167</v>
      </c>
      <c r="J102" s="7" t="n">
        <v>1.424501424501424</v>
      </c>
      <c r="K102" s="7" t="n">
        <v>42</v>
      </c>
      <c r="L102" s="7" t="n">
        <v>20.9</v>
      </c>
    </row>
    <row r="103">
      <c r="A103" s="7" t="inlineStr">
        <is>
          <t>98244</t>
        </is>
      </c>
      <c r="B103" s="7" t="inlineStr">
        <is>
          <t>Deming</t>
        </is>
      </c>
      <c r="C103" s="7" t="inlineStr">
        <is>
          <t>Whatcom</t>
        </is>
      </c>
      <c r="D103" s="7" t="n">
        <v>39.67446592065107</v>
      </c>
      <c r="E103" s="7" t="n">
        <v>29.76313163751706</v>
      </c>
      <c r="F103" s="7">
        <f>D103-E103</f>
        <v/>
      </c>
      <c r="G103" s="7">
        <f>ABS(F103)</f>
        <v/>
      </c>
      <c r="H103" s="7">
        <f>F103^2</f>
        <v/>
      </c>
      <c r="I103" s="7" t="n">
        <v>67159</v>
      </c>
      <c r="J103" s="7" t="n">
        <v>7.070193285859613</v>
      </c>
      <c r="K103" s="7" t="n">
        <v>12.5</v>
      </c>
      <c r="L103" s="7" t="n">
        <v>31.9</v>
      </c>
    </row>
    <row r="104">
      <c r="A104" s="7" t="inlineStr">
        <is>
          <t>98245</t>
        </is>
      </c>
      <c r="B104" s="7" t="inlineStr">
        <is>
          <t>Eastsound</t>
        </is>
      </c>
      <c r="C104" s="7" t="inlineStr">
        <is>
          <t>San Juan</t>
        </is>
      </c>
      <c r="D104" s="7" t="n">
        <v>138.74253600281</v>
      </c>
      <c r="E104" s="7" t="n">
        <v>74.56030193288987</v>
      </c>
      <c r="F104" s="7">
        <f>D104-E104</f>
        <v/>
      </c>
      <c r="G104" s="7">
        <f>ABS(F104)</f>
        <v/>
      </c>
      <c r="H104" s="7">
        <f>F104^2</f>
        <v/>
      </c>
      <c r="I104" s="7" t="n">
        <v>95811</v>
      </c>
      <c r="J104" s="7" t="n">
        <v>5.374077976817703</v>
      </c>
      <c r="K104" s="7" t="n">
        <v>29.5</v>
      </c>
      <c r="L104" s="7" t="n">
        <v>16.2</v>
      </c>
    </row>
    <row r="105">
      <c r="A105" s="7" t="inlineStr">
        <is>
          <t>98247</t>
        </is>
      </c>
      <c r="B105" s="7" t="inlineStr">
        <is>
          <t>Everson</t>
        </is>
      </c>
      <c r="C105" s="7" t="inlineStr">
        <is>
          <t>Whatcom</t>
        </is>
      </c>
      <c r="D105" s="7" t="n">
        <v>36.83409436834095</v>
      </c>
      <c r="E105" s="7" t="n">
        <v>49.61979057682321</v>
      </c>
      <c r="F105" s="7">
        <f>D105-E105</f>
        <v/>
      </c>
      <c r="G105" s="7">
        <f>ABS(F105)</f>
        <v/>
      </c>
      <c r="H105" s="7">
        <f>F105^2</f>
        <v/>
      </c>
      <c r="I105" s="7" t="n">
        <v>88724</v>
      </c>
      <c r="J105" s="7" t="n">
        <v>9.04109589041096</v>
      </c>
      <c r="K105" s="7" t="n">
        <v>10.7</v>
      </c>
      <c r="L105" s="7" t="n">
        <v>28.7</v>
      </c>
    </row>
    <row r="106">
      <c r="A106" s="7" t="inlineStr">
        <is>
          <t>98248</t>
        </is>
      </c>
      <c r="B106" s="7" t="inlineStr">
        <is>
          <t>Ferndale</t>
        </is>
      </c>
      <c r="C106" s="7" t="inlineStr">
        <is>
          <t>Whatcom</t>
        </is>
      </c>
      <c r="D106" s="7" t="n">
        <v>64.26520974164275</v>
      </c>
      <c r="E106" s="7" t="n">
        <v>57.88201425915513</v>
      </c>
      <c r="F106" s="7">
        <f>D106-E106</f>
        <v/>
      </c>
      <c r="G106" s="7">
        <f>ABS(F106)</f>
        <v/>
      </c>
      <c r="H106" s="7">
        <f>F106^2</f>
        <v/>
      </c>
      <c r="I106" s="7" t="n">
        <v>91060</v>
      </c>
      <c r="J106" s="7" t="n">
        <v>14.90878785072692</v>
      </c>
      <c r="K106" s="7" t="n">
        <v>16.2</v>
      </c>
      <c r="L106" s="7" t="n">
        <v>22.4</v>
      </c>
    </row>
    <row r="107">
      <c r="A107" s="7" t="inlineStr">
        <is>
          <t>98249</t>
        </is>
      </c>
      <c r="B107" s="7" t="inlineStr">
        <is>
          <t>Freeland</t>
        </is>
      </c>
      <c r="C107" s="7" t="inlineStr">
        <is>
          <t>Island</t>
        </is>
      </c>
      <c r="D107" s="7" t="n">
        <v>95.75795383655645</v>
      </c>
      <c r="E107" s="7" t="n">
        <v>71.56944789944076</v>
      </c>
      <c r="F107" s="7">
        <f>D107-E107</f>
        <v/>
      </c>
      <c r="G107" s="7">
        <f>ABS(F107)</f>
        <v/>
      </c>
      <c r="H107" s="7">
        <f>F107^2</f>
        <v/>
      </c>
      <c r="I107" s="7" t="n">
        <v>99519</v>
      </c>
      <c r="J107" s="7" t="n">
        <v>4.179663131628198</v>
      </c>
      <c r="K107" s="7" t="n">
        <v>19.6</v>
      </c>
      <c r="L107" s="7" t="n">
        <v>30</v>
      </c>
    </row>
    <row r="108">
      <c r="A108" s="7" t="inlineStr">
        <is>
          <t>98250</t>
        </is>
      </c>
      <c r="B108" s="7" t="inlineStr">
        <is>
          <t>Friday Harbor</t>
        </is>
      </c>
      <c r="C108" s="7" t="inlineStr">
        <is>
          <t>San Juan</t>
        </is>
      </c>
      <c r="D108" s="7" t="n">
        <v>100.7383100902379</v>
      </c>
      <c r="E108" s="7" t="n">
        <v>53.76577740382915</v>
      </c>
      <c r="F108" s="7">
        <f>D108-E108</f>
        <v/>
      </c>
      <c r="G108" s="7">
        <f>ABS(F108)</f>
        <v/>
      </c>
      <c r="H108" s="7">
        <f>F108^2</f>
        <v/>
      </c>
      <c r="I108" s="7" t="n">
        <v>88556</v>
      </c>
      <c r="J108" s="7" t="n">
        <v>8.547990155865463</v>
      </c>
      <c r="K108" s="7" t="n">
        <v>18.6</v>
      </c>
      <c r="L108" s="7" t="n">
        <v>13.9</v>
      </c>
    </row>
    <row r="109">
      <c r="A109" s="7" t="inlineStr">
        <is>
          <t>98251</t>
        </is>
      </c>
      <c r="B109" s="7" t="inlineStr">
        <is>
          <t>Gold Bar</t>
        </is>
      </c>
      <c r="C109" s="7" t="inlineStr">
        <is>
          <t>Snohomish</t>
        </is>
      </c>
      <c r="D109" s="7" t="n">
        <v>64.1025641025641</v>
      </c>
      <c r="E109" s="7" t="n">
        <v>46.50442624397276</v>
      </c>
      <c r="F109" s="7">
        <f>D109-E109</f>
        <v/>
      </c>
      <c r="G109" s="7">
        <f>ABS(F109)</f>
        <v/>
      </c>
      <c r="H109" s="7">
        <f>F109^2</f>
        <v/>
      </c>
      <c r="I109" s="7" t="n">
        <v>83891</v>
      </c>
      <c r="J109" s="7" t="n">
        <v>0.8547008547008548</v>
      </c>
      <c r="K109" s="7" t="n">
        <v>10.6</v>
      </c>
      <c r="L109" s="7" t="n">
        <v>48.2</v>
      </c>
    </row>
    <row r="110">
      <c r="A110" s="7" t="inlineStr">
        <is>
          <t>98252</t>
        </is>
      </c>
      <c r="B110" s="7" t="inlineStr">
        <is>
          <t>Granite Falls</t>
        </is>
      </c>
      <c r="C110" s="7" t="inlineStr">
        <is>
          <t>Snohomish</t>
        </is>
      </c>
      <c r="D110" s="7" t="n">
        <v>60.10016694490818</v>
      </c>
      <c r="E110" s="7" t="n">
        <v>65.68347791135736</v>
      </c>
      <c r="F110" s="7">
        <f>D110-E110</f>
        <v/>
      </c>
      <c r="G110" s="7">
        <f>ABS(F110)</f>
        <v/>
      </c>
      <c r="H110" s="7">
        <f>F110^2</f>
        <v/>
      </c>
      <c r="I110" s="7" t="n">
        <v>98370</v>
      </c>
      <c r="J110" s="7" t="n">
        <v>6.343906510851419</v>
      </c>
      <c r="K110" s="7" t="n">
        <v>15.8</v>
      </c>
      <c r="L110" s="7" t="n">
        <v>36.2</v>
      </c>
    </row>
    <row r="111">
      <c r="A111" s="7" t="inlineStr">
        <is>
          <t>98253</t>
        </is>
      </c>
      <c r="B111" s="7" t="inlineStr">
        <is>
          <t>Greenbank</t>
        </is>
      </c>
      <c r="C111" s="7" t="inlineStr">
        <is>
          <t>Island</t>
        </is>
      </c>
      <c r="D111" s="7" t="n">
        <v>76.75070028011206</v>
      </c>
      <c r="E111" s="7" t="n">
        <v>50.37425440270931</v>
      </c>
      <c r="F111" s="7">
        <f>D111-E111</f>
        <v/>
      </c>
      <c r="G111" s="7">
        <f>ABS(F111)</f>
        <v/>
      </c>
      <c r="H111" s="7">
        <f>F111^2</f>
        <v/>
      </c>
      <c r="I111" s="7" t="n">
        <v>71131</v>
      </c>
      <c r="J111" s="7" t="n">
        <v>0</v>
      </c>
      <c r="K111" s="7" t="n">
        <v>28.9</v>
      </c>
      <c r="L111" s="7" t="n">
        <v>37.4</v>
      </c>
    </row>
    <row r="112">
      <c r="A112" s="7" t="inlineStr">
        <is>
          <t>98255</t>
        </is>
      </c>
      <c r="B112" s="7" t="inlineStr">
        <is>
          <t>Hamilton</t>
        </is>
      </c>
      <c r="C112" s="7" t="inlineStr">
        <is>
          <t>Skagit</t>
        </is>
      </c>
      <c r="D112" s="7" t="n">
        <v>19.04761904761905</v>
      </c>
      <c r="E112" s="7" t="n">
        <v>14.30801735079497</v>
      </c>
      <c r="F112" s="7">
        <f>D112-E112</f>
        <v/>
      </c>
      <c r="G112" s="7">
        <f>ABS(F112)</f>
        <v/>
      </c>
      <c r="H112" s="7">
        <f>F112^2</f>
        <v/>
      </c>
      <c r="I112" s="7" t="n">
        <v>68194</v>
      </c>
      <c r="J112" s="7" t="n">
        <v>0.9523809523809524</v>
      </c>
      <c r="K112" s="7" t="n">
        <v>0</v>
      </c>
      <c r="L112" s="7" t="n">
        <v>26.3</v>
      </c>
    </row>
    <row r="113">
      <c r="A113" s="7" t="inlineStr">
        <is>
          <t>98256</t>
        </is>
      </c>
      <c r="B113" s="7" t="inlineStr">
        <is>
          <t>Index</t>
        </is>
      </c>
      <c r="C113" s="7" t="inlineStr">
        <is>
          <t>Snohomish</t>
        </is>
      </c>
      <c r="D113" s="7" t="n">
        <v>6.451612903225806</v>
      </c>
      <c r="E113" s="7" t="n">
        <v>76.40074789052963</v>
      </c>
      <c r="F113" s="7">
        <f>D113-E113</f>
        <v/>
      </c>
      <c r="G113" s="7">
        <f>ABS(F113)</f>
        <v/>
      </c>
      <c r="H113" s="7">
        <f>F113^2</f>
        <v/>
      </c>
      <c r="I113" s="7" t="n">
        <v>94375</v>
      </c>
      <c r="J113" s="7" t="n">
        <v>0</v>
      </c>
      <c r="K113" s="7" t="n">
        <v>24.6</v>
      </c>
      <c r="L113" s="7" t="n">
        <v>56.4</v>
      </c>
    </row>
    <row r="114">
      <c r="A114" s="7" t="inlineStr">
        <is>
          <t>98257</t>
        </is>
      </c>
      <c r="B114" s="7" t="inlineStr">
        <is>
          <t>La Conner</t>
        </is>
      </c>
      <c r="C114" s="7" t="inlineStr">
        <is>
          <t>Skagit</t>
        </is>
      </c>
      <c r="D114" s="7" t="n">
        <v>69.64964119881807</v>
      </c>
      <c r="E114" s="7" t="n">
        <v>60.50202873042157</v>
      </c>
      <c r="F114" s="7">
        <f>D114-E114</f>
        <v/>
      </c>
      <c r="G114" s="7">
        <f>ABS(F114)</f>
        <v/>
      </c>
      <c r="H114" s="7">
        <f>F114^2</f>
        <v/>
      </c>
      <c r="I114" s="7" t="n">
        <v>94425</v>
      </c>
      <c r="J114" s="7" t="n">
        <v>11.39721401435205</v>
      </c>
      <c r="K114" s="7" t="n">
        <v>15.1</v>
      </c>
      <c r="L114" s="7" t="n">
        <v>25.5</v>
      </c>
    </row>
    <row r="115">
      <c r="A115" s="7" t="inlineStr">
        <is>
          <t>98258</t>
        </is>
      </c>
      <c r="B115" s="7" t="inlineStr">
        <is>
          <t>Lake Stevens</t>
        </is>
      </c>
      <c r="C115" s="7" t="inlineStr">
        <is>
          <t>Snohomish</t>
        </is>
      </c>
      <c r="D115" s="7" t="n">
        <v>132.7822815662587</v>
      </c>
      <c r="E115" s="7" t="n">
        <v>94.9014413245696</v>
      </c>
      <c r="F115" s="7">
        <f>D115-E115</f>
        <v/>
      </c>
      <c r="G115" s="7">
        <f>ABS(F115)</f>
        <v/>
      </c>
      <c r="H115" s="7">
        <f>F115^2</f>
        <v/>
      </c>
      <c r="I115" s="7" t="n">
        <v>123898</v>
      </c>
      <c r="J115" s="7" t="n">
        <v>8.122714989667781</v>
      </c>
      <c r="K115" s="7" t="n">
        <v>19.9</v>
      </c>
      <c r="L115" s="7" t="n">
        <v>35.1</v>
      </c>
    </row>
    <row r="116">
      <c r="A116" s="7" t="inlineStr">
        <is>
          <t>98260</t>
        </is>
      </c>
      <c r="B116" s="7" t="inlineStr">
        <is>
          <t>Langley</t>
        </is>
      </c>
      <c r="C116" s="7" t="inlineStr">
        <is>
          <t>Island</t>
        </is>
      </c>
      <c r="D116" s="7" t="n">
        <v>115.6898656898657</v>
      </c>
      <c r="E116" s="7" t="n">
        <v>80.92495649249206</v>
      </c>
      <c r="F116" s="7">
        <f>D116-E116</f>
        <v/>
      </c>
      <c r="G116" s="7">
        <f>ABS(F116)</f>
        <v/>
      </c>
      <c r="H116" s="7">
        <f>F116^2</f>
        <v/>
      </c>
      <c r="I116" s="7" t="n">
        <v>101987</v>
      </c>
      <c r="J116" s="7" t="n">
        <v>5.006105006105006</v>
      </c>
      <c r="K116" s="7" t="n">
        <v>29.9</v>
      </c>
      <c r="L116" s="7" t="n">
        <v>31.6</v>
      </c>
    </row>
    <row r="117">
      <c r="A117" s="7" t="inlineStr">
        <is>
          <t>98261</t>
        </is>
      </c>
      <c r="B117" s="7" t="inlineStr">
        <is>
          <t>Lopez Island</t>
        </is>
      </c>
      <c r="C117" s="7" t="inlineStr">
        <is>
          <t>San Juan</t>
        </is>
      </c>
      <c r="D117" s="7" t="n">
        <v>82.40165631469979</v>
      </c>
      <c r="E117" s="7" t="n">
        <v>46.46684025358919</v>
      </c>
      <c r="F117" s="7">
        <f>D117-E117</f>
        <v/>
      </c>
      <c r="G117" s="7">
        <f>ABS(F117)</f>
        <v/>
      </c>
      <c r="H117" s="7">
        <f>F117^2</f>
        <v/>
      </c>
      <c r="I117" s="7" t="n">
        <v>80119</v>
      </c>
      <c r="J117" s="7" t="n">
        <v>1.449275362318841</v>
      </c>
      <c r="K117" s="7" t="n">
        <v>23.3</v>
      </c>
      <c r="L117" s="7" t="n">
        <v>18</v>
      </c>
    </row>
    <row r="118">
      <c r="A118" s="7" t="inlineStr">
        <is>
          <t>98262</t>
        </is>
      </c>
      <c r="B118" s="7" t="inlineStr">
        <is>
          <t>Lummi Island</t>
        </is>
      </c>
      <c r="C118" s="7" t="inlineStr">
        <is>
          <t>Whatcom</t>
        </is>
      </c>
      <c r="D118" s="7" t="n">
        <v>70.93023255813954</v>
      </c>
      <c r="E118" s="7" t="n">
        <v>72.94530304784664</v>
      </c>
      <c r="F118" s="7">
        <f>D118-E118</f>
        <v/>
      </c>
      <c r="G118" s="7">
        <f>ABS(F118)</f>
        <v/>
      </c>
      <c r="H118" s="7">
        <f>F118^2</f>
        <v/>
      </c>
      <c r="I118" s="7" t="n">
        <v>83000</v>
      </c>
      <c r="J118" s="7" t="n">
        <v>2.674418604651163</v>
      </c>
      <c r="K118" s="7" t="n">
        <v>40.3</v>
      </c>
      <c r="L118" s="7" t="n">
        <v>34</v>
      </c>
    </row>
    <row r="119">
      <c r="A119" s="7" t="inlineStr">
        <is>
          <t>98263</t>
        </is>
      </c>
      <c r="B119" s="7" t="inlineStr">
        <is>
          <t>Lyman</t>
        </is>
      </c>
      <c r="C119" s="7" t="inlineStr">
        <is>
          <t>Skagit</t>
        </is>
      </c>
      <c r="D119" s="7" t="n">
        <v>24.69135802469136</v>
      </c>
      <c r="E119" s="7" t="n">
        <v>91.8287922054474</v>
      </c>
      <c r="F119" s="7">
        <f>D119-E119</f>
        <v/>
      </c>
      <c r="G119" s="7">
        <f>ABS(F119)</f>
        <v/>
      </c>
      <c r="H119" s="7">
        <f>F119^2</f>
        <v/>
      </c>
      <c r="I119" s="7" t="n">
        <v>133750</v>
      </c>
      <c r="J119" s="7" t="n">
        <v>0</v>
      </c>
      <c r="K119" s="7" t="n">
        <v>11.8</v>
      </c>
      <c r="L119" s="7" t="n">
        <v>31.3</v>
      </c>
    </row>
    <row r="120">
      <c r="A120" s="7" t="inlineStr">
        <is>
          <t>98264</t>
        </is>
      </c>
      <c r="B120" s="7" t="inlineStr">
        <is>
          <t>Lynden</t>
        </is>
      </c>
      <c r="C120" s="7" t="inlineStr">
        <is>
          <t>Whatcom</t>
        </is>
      </c>
      <c r="D120" s="7" t="n">
        <v>42.68151241011366</v>
      </c>
      <c r="E120" s="7" t="n">
        <v>66.59647013959999</v>
      </c>
      <c r="F120" s="7">
        <f>D120-E120</f>
        <v/>
      </c>
      <c r="G120" s="7">
        <f>ABS(F120)</f>
        <v/>
      </c>
      <c r="H120" s="7">
        <f>F120^2</f>
        <v/>
      </c>
      <c r="I120" s="7" t="n">
        <v>103638</v>
      </c>
      <c r="J120" s="7" t="n">
        <v>20.71445140338669</v>
      </c>
      <c r="K120" s="7" t="n">
        <v>12.8</v>
      </c>
      <c r="L120" s="7" t="n">
        <v>20.5</v>
      </c>
    </row>
    <row r="121">
      <c r="A121" s="7" t="inlineStr">
        <is>
          <t>98266</t>
        </is>
      </c>
      <c r="B121" s="7" t="inlineStr">
        <is>
          <t>Maple Falls</t>
        </is>
      </c>
      <c r="C121" s="7" t="inlineStr">
        <is>
          <t>Whatcom</t>
        </is>
      </c>
      <c r="D121" s="7" t="n">
        <v>31.13026819923371</v>
      </c>
      <c r="E121" s="7" t="n">
        <v>12.81556070654484</v>
      </c>
      <c r="F121" s="7">
        <f>D121-E121</f>
        <v/>
      </c>
      <c r="G121" s="7">
        <f>ABS(F121)</f>
        <v/>
      </c>
      <c r="H121" s="7">
        <f>F121^2</f>
        <v/>
      </c>
      <c r="I121" s="7" t="n">
        <v>51361</v>
      </c>
      <c r="J121" s="7" t="n">
        <v>3.400383141762452</v>
      </c>
      <c r="K121" s="7" t="n">
        <v>8.5</v>
      </c>
      <c r="L121" s="7" t="n">
        <v>47.2</v>
      </c>
    </row>
    <row r="122">
      <c r="A122" s="7" t="inlineStr">
        <is>
          <t>98270</t>
        </is>
      </c>
      <c r="B122" s="7" t="inlineStr">
        <is>
          <t>Marysville</t>
        </is>
      </c>
      <c r="C122" s="7" t="inlineStr">
        <is>
          <t>Snohomish</t>
        </is>
      </c>
      <c r="D122" s="7" t="n">
        <v>91.51707145371347</v>
      </c>
      <c r="E122" s="7" t="n">
        <v>76.68701566385204</v>
      </c>
      <c r="F122" s="7">
        <f>D122-E122</f>
        <v/>
      </c>
      <c r="G122" s="7">
        <f>ABS(F122)</f>
        <v/>
      </c>
      <c r="H122" s="7">
        <f>F122^2</f>
        <v/>
      </c>
      <c r="I122" s="7" t="n">
        <v>108147</v>
      </c>
      <c r="J122" s="7" t="n">
        <v>16.06074319907477</v>
      </c>
      <c r="K122" s="7" t="n">
        <v>14.2</v>
      </c>
      <c r="L122" s="7" t="n">
        <v>31.8</v>
      </c>
    </row>
    <row r="123">
      <c r="A123" s="7" t="inlineStr">
        <is>
          <t>98271</t>
        </is>
      </c>
      <c r="B123" s="7" t="inlineStr">
        <is>
          <t>Marysville</t>
        </is>
      </c>
      <c r="C123" s="7" t="inlineStr">
        <is>
          <t>Snohomish</t>
        </is>
      </c>
      <c r="D123" s="7" t="n">
        <v>64.94262431398637</v>
      </c>
      <c r="E123" s="7" t="n">
        <v>63.00754661558769</v>
      </c>
      <c r="F123" s="7">
        <f>D123-E123</f>
        <v/>
      </c>
      <c r="G123" s="7">
        <f>ABS(F123)</f>
        <v/>
      </c>
      <c r="H123" s="7">
        <f>F123^2</f>
        <v/>
      </c>
      <c r="I123" s="7" t="n">
        <v>95654</v>
      </c>
      <c r="J123" s="7" t="n">
        <v>15.99866954930983</v>
      </c>
      <c r="K123" s="7" t="n">
        <v>12.7</v>
      </c>
      <c r="L123" s="7" t="n">
        <v>30.9</v>
      </c>
    </row>
    <row r="124">
      <c r="A124" s="7" t="inlineStr">
        <is>
          <t>98272</t>
        </is>
      </c>
      <c r="B124" s="7" t="inlineStr">
        <is>
          <t>Monroe</t>
        </is>
      </c>
      <c r="C124" s="7" t="inlineStr">
        <is>
          <t>Snohomish</t>
        </is>
      </c>
      <c r="D124" s="7" t="n">
        <v>133.0952610751858</v>
      </c>
      <c r="E124" s="7" t="n">
        <v>98.63920501187658</v>
      </c>
      <c r="F124" s="7">
        <f>D124-E124</f>
        <v/>
      </c>
      <c r="G124" s="7">
        <f>ABS(F124)</f>
        <v/>
      </c>
      <c r="H124" s="7">
        <f>F124^2</f>
        <v/>
      </c>
      <c r="I124" s="7" t="n">
        <v>122352</v>
      </c>
      <c r="J124" s="7" t="n">
        <v>12.88485667406621</v>
      </c>
      <c r="K124" s="7" t="n">
        <v>21.2</v>
      </c>
      <c r="L124" s="7" t="n">
        <v>35</v>
      </c>
    </row>
    <row r="125">
      <c r="A125" s="7" t="inlineStr">
        <is>
          <t>98273</t>
        </is>
      </c>
      <c r="B125" s="7" t="inlineStr">
        <is>
          <t>Mount Vernon</t>
        </is>
      </c>
      <c r="C125" s="7" t="inlineStr">
        <is>
          <t>Skagit</t>
        </is>
      </c>
      <c r="D125" s="7" t="n">
        <v>49.96246559346067</v>
      </c>
      <c r="E125" s="7" t="n">
        <v>44.71197046771935</v>
      </c>
      <c r="F125" s="7">
        <f>D125-E125</f>
        <v/>
      </c>
      <c r="G125" s="7">
        <f>ABS(F125)</f>
        <v/>
      </c>
      <c r="H125" s="7">
        <f>F125^2</f>
        <v/>
      </c>
      <c r="I125" s="7" t="n">
        <v>76717</v>
      </c>
      <c r="J125" s="7" t="n">
        <v>25.69855701059304</v>
      </c>
      <c r="K125" s="7" t="n">
        <v>13.3</v>
      </c>
      <c r="L125" s="7" t="n">
        <v>23.6</v>
      </c>
    </row>
    <row r="126">
      <c r="A126" s="7" t="inlineStr">
        <is>
          <t>98274</t>
        </is>
      </c>
      <c r="B126" s="7" t="inlineStr">
        <is>
          <t>Mount Vernon</t>
        </is>
      </c>
      <c r="C126" s="7" t="inlineStr">
        <is>
          <t>Skagit</t>
        </is>
      </c>
      <c r="D126" s="7" t="n">
        <v>69.99491869918698</v>
      </c>
      <c r="E126" s="7" t="n">
        <v>59.48032998510352</v>
      </c>
      <c r="F126" s="7">
        <f>D126-E126</f>
        <v/>
      </c>
      <c r="G126" s="7">
        <f>ABS(F126)</f>
        <v/>
      </c>
      <c r="H126" s="7">
        <f>F126^2</f>
        <v/>
      </c>
      <c r="I126" s="7" t="n">
        <v>96177</v>
      </c>
      <c r="J126" s="7" t="n">
        <v>11.6234756097561</v>
      </c>
      <c r="K126" s="7" t="n">
        <v>13.8</v>
      </c>
      <c r="L126" s="7" t="n">
        <v>23</v>
      </c>
    </row>
    <row r="127">
      <c r="A127" s="7" t="inlineStr">
        <is>
          <t>98275</t>
        </is>
      </c>
      <c r="B127" s="7" t="inlineStr">
        <is>
          <t>Mukilteo</t>
        </is>
      </c>
      <c r="C127" s="7" t="inlineStr">
        <is>
          <t>Snohomish</t>
        </is>
      </c>
      <c r="D127" s="7" t="n">
        <v>139.9680073126143</v>
      </c>
      <c r="E127" s="7" t="n">
        <v>120.4587109645952</v>
      </c>
      <c r="F127" s="7">
        <f>D127-E127</f>
        <v/>
      </c>
      <c r="G127" s="7">
        <f>ABS(F127)</f>
        <v/>
      </c>
      <c r="H127" s="7">
        <f>F127^2</f>
        <v/>
      </c>
      <c r="I127" s="7" t="n">
        <v>132861</v>
      </c>
      <c r="J127" s="7" t="n">
        <v>35.47760511882998</v>
      </c>
      <c r="K127" s="7" t="n">
        <v>26.7</v>
      </c>
      <c r="L127" s="7" t="n">
        <v>25.8</v>
      </c>
    </row>
    <row r="128">
      <c r="A128" s="7" t="inlineStr">
        <is>
          <t>98276</t>
        </is>
      </c>
      <c r="B128" s="7" t="inlineStr">
        <is>
          <t>Nooksack</t>
        </is>
      </c>
      <c r="C128" s="7" t="inlineStr">
        <is>
          <t>Whatcom</t>
        </is>
      </c>
      <c r="D128" s="7" t="n">
        <v>23.77179080824089</v>
      </c>
      <c r="E128" s="7" t="n">
        <v>55.08006960368529</v>
      </c>
      <c r="F128" s="7">
        <f>D128-E128</f>
        <v/>
      </c>
      <c r="G128" s="7">
        <f>ABS(F128)</f>
        <v/>
      </c>
      <c r="H128" s="7">
        <f>F128^2</f>
        <v/>
      </c>
      <c r="I128" s="7" t="n">
        <v>97159</v>
      </c>
      <c r="J128" s="7" t="n">
        <v>5.229793977812995</v>
      </c>
      <c r="K128" s="7" t="n">
        <v>9.5</v>
      </c>
      <c r="L128" s="7" t="n">
        <v>29.7</v>
      </c>
    </row>
    <row r="129">
      <c r="A129" s="7" t="inlineStr">
        <is>
          <t>98277</t>
        </is>
      </c>
      <c r="B129" s="7" t="inlineStr">
        <is>
          <t>Oak Harbor</t>
        </is>
      </c>
      <c r="C129" s="7" t="inlineStr">
        <is>
          <t>Island</t>
        </is>
      </c>
      <c r="D129" s="7" t="n">
        <v>45.96801252656302</v>
      </c>
      <c r="E129" s="7" t="n">
        <v>44.11298141044276</v>
      </c>
      <c r="F129" s="7">
        <f>D129-E129</f>
        <v/>
      </c>
      <c r="G129" s="7">
        <f>ABS(F129)</f>
        <v/>
      </c>
      <c r="H129" s="7">
        <f>F129^2</f>
        <v/>
      </c>
      <c r="I129" s="7" t="n">
        <v>83253</v>
      </c>
      <c r="J129" s="7" t="n">
        <v>23.69421764903255</v>
      </c>
      <c r="K129" s="7" t="n">
        <v>7.6</v>
      </c>
      <c r="L129" s="7" t="n">
        <v>20.1</v>
      </c>
    </row>
    <row r="130">
      <c r="A130" s="7" t="inlineStr">
        <is>
          <t>98279</t>
        </is>
      </c>
      <c r="B130" s="7" t="inlineStr">
        <is>
          <t>Olga</t>
        </is>
      </c>
      <c r="C130" s="7" t="inlineStr">
        <is>
          <t>San Juan</t>
        </is>
      </c>
      <c r="D130" s="7" t="n">
        <v>86.95652173913044</v>
      </c>
      <c r="E130" s="7" t="n">
        <v>36.26340892785838</v>
      </c>
      <c r="F130" s="7">
        <f>D130-E130</f>
        <v/>
      </c>
      <c r="G130" s="7">
        <f>ABS(F130)</f>
        <v/>
      </c>
      <c r="H130" s="7">
        <f>F130^2</f>
        <v/>
      </c>
      <c r="I130" s="7" t="n">
        <v>70417</v>
      </c>
      <c r="J130" s="7" t="n">
        <v>0</v>
      </c>
      <c r="K130" s="7" t="n">
        <v>21.5</v>
      </c>
      <c r="L130" s="7" t="n">
        <v>24.6</v>
      </c>
    </row>
    <row r="131">
      <c r="A131" s="7" t="inlineStr">
        <is>
          <t>98280</t>
        </is>
      </c>
      <c r="B131" s="7" t="inlineStr">
        <is>
          <t>Orcas</t>
        </is>
      </c>
      <c r="C131" s="7" t="inlineStr">
        <is>
          <t>San Juan</t>
        </is>
      </c>
      <c r="D131" s="7" t="n">
        <v>26.38522427440633</v>
      </c>
      <c r="E131" s="7" t="n">
        <v>46.94135514231495</v>
      </c>
      <c r="F131" s="7">
        <f>D131-E131</f>
        <v/>
      </c>
      <c r="G131" s="7">
        <f>ABS(F131)</f>
        <v/>
      </c>
      <c r="H131" s="7">
        <f>F131^2</f>
        <v/>
      </c>
      <c r="I131" s="7" t="n">
        <v>80192</v>
      </c>
      <c r="J131" s="7" t="n">
        <v>0.79155672823219</v>
      </c>
      <c r="K131" s="7" t="n">
        <v>20.3</v>
      </c>
      <c r="L131" s="7" t="n">
        <v>16.8</v>
      </c>
    </row>
    <row r="132">
      <c r="A132" s="7" t="inlineStr">
        <is>
          <t>98281</t>
        </is>
      </c>
      <c r="B132" s="7" t="inlineStr">
        <is>
          <t>Point Roberts</t>
        </is>
      </c>
      <c r="C132" s="7" t="inlineStr">
        <is>
          <t>Whatcom</t>
        </is>
      </c>
      <c r="D132" s="7" t="n">
        <v>44.65558194774346</v>
      </c>
      <c r="E132" s="7" t="n">
        <v>83.70854787099591</v>
      </c>
      <c r="F132" s="7">
        <f>D132-E132</f>
        <v/>
      </c>
      <c r="G132" s="7">
        <f>ABS(F132)</f>
        <v/>
      </c>
      <c r="H132" s="7">
        <f>F132^2</f>
        <v/>
      </c>
      <c r="I132" s="7" t="n">
        <v>78125</v>
      </c>
      <c r="J132" s="7" t="n">
        <v>2.280285035629454</v>
      </c>
      <c r="K132" s="7" t="n">
        <v>47.6</v>
      </c>
      <c r="L132" s="7" t="n">
        <v>32.5</v>
      </c>
    </row>
    <row r="133">
      <c r="A133" s="7" t="inlineStr">
        <is>
          <t>98282</t>
        </is>
      </c>
      <c r="B133" s="7" t="inlineStr">
        <is>
          <t>Camano Island</t>
        </is>
      </c>
      <c r="C133" s="7" t="inlineStr">
        <is>
          <t>Island</t>
        </is>
      </c>
      <c r="D133" s="7" t="n">
        <v>87.47312436347177</v>
      </c>
      <c r="E133" s="7" t="n">
        <v>76.52867191837356</v>
      </c>
      <c r="F133" s="7">
        <f>D133-E133</f>
        <v/>
      </c>
      <c r="G133" s="7">
        <f>ABS(F133)</f>
        <v/>
      </c>
      <c r="H133" s="7">
        <f>F133^2</f>
        <v/>
      </c>
      <c r="I133" s="7" t="n">
        <v>105231</v>
      </c>
      <c r="J133" s="7" t="n">
        <v>1.199502093470635</v>
      </c>
      <c r="K133" s="7" t="n">
        <v>19.9</v>
      </c>
      <c r="L133" s="7" t="n">
        <v>42</v>
      </c>
    </row>
    <row r="134">
      <c r="A134" s="7" t="inlineStr">
        <is>
          <t>98283</t>
        </is>
      </c>
      <c r="B134" s="7" t="inlineStr">
        <is>
          <t>Rockport</t>
        </is>
      </c>
      <c r="C134" s="7" t="inlineStr">
        <is>
          <t>Skagit</t>
        </is>
      </c>
      <c r="D134" s="7" t="n">
        <v>5.952380952380952</v>
      </c>
      <c r="E134" s="7" t="n">
        <v>23.17571582878431</v>
      </c>
      <c r="F134" s="7">
        <f>D134-E134</f>
        <v/>
      </c>
      <c r="G134" s="7">
        <f>ABS(F134)</f>
        <v/>
      </c>
      <c r="H134" s="7">
        <f>F134^2</f>
        <v/>
      </c>
      <c r="I134" s="7" t="n">
        <v>72237</v>
      </c>
      <c r="J134" s="7" t="n">
        <v>7.142857142857142</v>
      </c>
      <c r="K134" s="7" t="n">
        <v>0</v>
      </c>
      <c r="L134" s="7" t="n">
        <v>37.1</v>
      </c>
    </row>
    <row r="135">
      <c r="A135" s="7" t="inlineStr">
        <is>
          <t>98284</t>
        </is>
      </c>
      <c r="B135" s="7" t="inlineStr">
        <is>
          <t>Sedro-Woolley</t>
        </is>
      </c>
      <c r="C135" s="7" t="inlineStr">
        <is>
          <t>Skagit</t>
        </is>
      </c>
      <c r="D135" s="7" t="n">
        <v>37.93532338308458</v>
      </c>
      <c r="E135" s="7" t="n">
        <v>53.97653679317241</v>
      </c>
      <c r="F135" s="7">
        <f>D135-E135</f>
        <v/>
      </c>
      <c r="G135" s="7">
        <f>ABS(F135)</f>
        <v/>
      </c>
      <c r="H135" s="7">
        <f>F135^2</f>
        <v/>
      </c>
      <c r="I135" s="7" t="n">
        <v>93006</v>
      </c>
      <c r="J135" s="7" t="n">
        <v>11.17626154939588</v>
      </c>
      <c r="K135" s="7" t="n">
        <v>9.6</v>
      </c>
      <c r="L135" s="7" t="n">
        <v>31.6</v>
      </c>
    </row>
    <row r="136">
      <c r="A136" s="7" t="inlineStr">
        <is>
          <t>98288</t>
        </is>
      </c>
      <c r="B136" s="7" t="inlineStr">
        <is>
          <t>Skykomish</t>
        </is>
      </c>
      <c r="C136" s="7" t="inlineStr">
        <is>
          <t>King</t>
        </is>
      </c>
      <c r="D136" s="7" t="n">
        <v>35.23035230352303</v>
      </c>
      <c r="E136" s="7" t="n">
        <v>34.53306182879045</v>
      </c>
      <c r="F136" s="7">
        <f>D136-E136</f>
        <v/>
      </c>
      <c r="G136" s="7">
        <f>ABS(F136)</f>
        <v/>
      </c>
      <c r="H136" s="7">
        <f>F136^2</f>
        <v/>
      </c>
      <c r="I136" s="7" t="n">
        <v>64583</v>
      </c>
      <c r="J136" s="7" t="n">
        <v>2.439024390243902</v>
      </c>
      <c r="K136" s="7" t="n">
        <v>20</v>
      </c>
      <c r="L136" s="7" t="n">
        <v>28.6</v>
      </c>
    </row>
    <row r="137">
      <c r="A137" s="7" t="inlineStr">
        <is>
          <t>98290</t>
        </is>
      </c>
      <c r="B137" s="7" t="inlineStr">
        <is>
          <t>Snohomish</t>
        </is>
      </c>
      <c r="C137" s="7" t="inlineStr">
        <is>
          <t>Snohomish</t>
        </is>
      </c>
      <c r="D137" s="7" t="n">
        <v>100.5590223608944</v>
      </c>
      <c r="E137" s="7" t="n">
        <v>104.5556932343838</v>
      </c>
      <c r="F137" s="7">
        <f>D137-E137</f>
        <v/>
      </c>
      <c r="G137" s="7">
        <f>ABS(F137)</f>
        <v/>
      </c>
      <c r="H137" s="7">
        <f>F137^2</f>
        <v/>
      </c>
      <c r="I137" s="7" t="n">
        <v>132973</v>
      </c>
      <c r="J137" s="7" t="n">
        <v>11.63546541861674</v>
      </c>
      <c r="K137" s="7" t="n">
        <v>17.6</v>
      </c>
      <c r="L137" s="7" t="n">
        <v>35.5</v>
      </c>
    </row>
    <row r="138">
      <c r="A138" s="7" t="inlineStr">
        <is>
          <t>98292</t>
        </is>
      </c>
      <c r="B138" s="7" t="inlineStr">
        <is>
          <t>Stanwood</t>
        </is>
      </c>
      <c r="C138" s="7" t="inlineStr">
        <is>
          <t>Snohomish</t>
        </is>
      </c>
      <c r="D138" s="7" t="n">
        <v>73.14274787264557</v>
      </c>
      <c r="E138" s="7" t="n">
        <v>70.56810733347724</v>
      </c>
      <c r="F138" s="7">
        <f>D138-E138</f>
        <v/>
      </c>
      <c r="G138" s="7">
        <f>ABS(F138)</f>
        <v/>
      </c>
      <c r="H138" s="7">
        <f>F138^2</f>
        <v/>
      </c>
      <c r="I138" s="7" t="n">
        <v>101765</v>
      </c>
      <c r="J138" s="7" t="n">
        <v>11.61678936800841</v>
      </c>
      <c r="K138" s="7" t="n">
        <v>15.2</v>
      </c>
      <c r="L138" s="7" t="n">
        <v>35.9</v>
      </c>
    </row>
    <row r="139">
      <c r="A139" s="7" t="inlineStr">
        <is>
          <t>98294</t>
        </is>
      </c>
      <c r="B139" s="7" t="inlineStr">
        <is>
          <t>Sultan</t>
        </is>
      </c>
      <c r="C139" s="7" t="inlineStr">
        <is>
          <t>Snohomish</t>
        </is>
      </c>
      <c r="D139" s="7" t="n">
        <v>123.1079717457114</v>
      </c>
      <c r="E139" s="7" t="n">
        <v>64.53894354764047</v>
      </c>
      <c r="F139" s="7">
        <f>D139-E139</f>
        <v/>
      </c>
      <c r="G139" s="7">
        <f>ABS(F139)</f>
        <v/>
      </c>
      <c r="H139" s="7">
        <f>F139^2</f>
        <v/>
      </c>
      <c r="I139" s="7" t="n">
        <v>96676</v>
      </c>
      <c r="J139" s="7" t="n">
        <v>4.877228388832829</v>
      </c>
      <c r="K139" s="7" t="n">
        <v>16.4</v>
      </c>
      <c r="L139" s="7" t="n">
        <v>38.3</v>
      </c>
    </row>
    <row r="140">
      <c r="A140" s="7" t="inlineStr">
        <is>
          <t>98295</t>
        </is>
      </c>
      <c r="B140" s="7" t="inlineStr">
        <is>
          <t>Sumas</t>
        </is>
      </c>
      <c r="C140" s="7" t="inlineStr">
        <is>
          <t>Whatcom</t>
        </is>
      </c>
      <c r="D140" s="7" t="n">
        <v>26.03742880390561</v>
      </c>
      <c r="E140" s="7" t="n">
        <v>59.85594979413111</v>
      </c>
      <c r="F140" s="7">
        <f>D140-E140</f>
        <v/>
      </c>
      <c r="G140" s="7">
        <f>ABS(F140)</f>
        <v/>
      </c>
      <c r="H140" s="7">
        <f>F140^2</f>
        <v/>
      </c>
      <c r="I140" s="7" t="n">
        <v>98965</v>
      </c>
      <c r="J140" s="7" t="n">
        <v>11.2286411716843</v>
      </c>
      <c r="K140" s="7" t="n">
        <v>10.8</v>
      </c>
      <c r="L140" s="7" t="n">
        <v>27.3</v>
      </c>
    </row>
    <row r="141">
      <c r="A141" s="7" t="inlineStr">
        <is>
          <t>98296</t>
        </is>
      </c>
      <c r="B141" s="7" t="inlineStr">
        <is>
          <t>Snohomish</t>
        </is>
      </c>
      <c r="C141" s="7" t="inlineStr">
        <is>
          <t>Snohomish</t>
        </is>
      </c>
      <c r="D141" s="7" t="n">
        <v>193.7801498511752</v>
      </c>
      <c r="E141" s="7" t="n">
        <v>154.8393194026831</v>
      </c>
      <c r="F141" s="7">
        <f>D141-E141</f>
        <v/>
      </c>
      <c r="G141" s="7">
        <f>ABS(F141)</f>
        <v/>
      </c>
      <c r="H141" s="7">
        <f>F141^2</f>
        <v/>
      </c>
      <c r="I141" s="7" t="n">
        <v>177583</v>
      </c>
      <c r="J141" s="7" t="n">
        <v>3.017551062301139</v>
      </c>
      <c r="K141" s="7" t="n">
        <v>25.5</v>
      </c>
      <c r="L141" s="7" t="n">
        <v>31.6</v>
      </c>
    </row>
    <row r="142">
      <c r="A142" s="7" t="inlineStr">
        <is>
          <t>98297</t>
        </is>
      </c>
      <c r="B142" s="7" t="inlineStr">
        <is>
          <t>Waldron</t>
        </is>
      </c>
      <c r="C142" s="7" t="inlineStr">
        <is>
          <t>San Juan</t>
        </is>
      </c>
      <c r="D142" s="7" t="n">
        <v>35.71428571428572</v>
      </c>
      <c r="E142" s="7" t="n">
        <v>21.10284468331349</v>
      </c>
      <c r="F142" s="7">
        <f>D142-E142</f>
        <v/>
      </c>
      <c r="G142" s="7">
        <f>ABS(F142)</f>
        <v/>
      </c>
      <c r="H142" s="7">
        <f>F142^2</f>
        <v/>
      </c>
      <c r="I142" s="7" t="n">
        <v>45625</v>
      </c>
      <c r="J142" s="7" t="n">
        <v>0</v>
      </c>
      <c r="K142" s="7" t="n">
        <v>31.8</v>
      </c>
      <c r="L142" s="7" t="n">
        <v>14.7</v>
      </c>
    </row>
    <row r="143">
      <c r="A143" s="7" t="inlineStr">
        <is>
          <t>98303</t>
        </is>
      </c>
      <c r="B143" s="7" t="inlineStr">
        <is>
          <t>Anderson Island</t>
        </is>
      </c>
      <c r="C143" s="7" t="inlineStr">
        <is>
          <t>Pierce</t>
        </is>
      </c>
      <c r="D143" s="7" t="n">
        <v>74.64028776978417</v>
      </c>
      <c r="E143" s="7" t="n">
        <v>59.94890642916693</v>
      </c>
      <c r="F143" s="7">
        <f>D143-E143</f>
        <v/>
      </c>
      <c r="G143" s="7">
        <f>ABS(F143)</f>
        <v/>
      </c>
      <c r="H143" s="7">
        <f>F143^2</f>
        <v/>
      </c>
      <c r="I143" s="7" t="n">
        <v>80282</v>
      </c>
      <c r="J143" s="7" t="n">
        <v>0.6294964028776978</v>
      </c>
      <c r="K143" s="7" t="n">
        <v>30.1</v>
      </c>
      <c r="L143" s="7" t="n">
        <v>35.5</v>
      </c>
    </row>
    <row r="144">
      <c r="A144" s="7" t="inlineStr">
        <is>
          <t>98304</t>
        </is>
      </c>
      <c r="B144" s="7" t="inlineStr">
        <is>
          <t>Ashford</t>
        </is>
      </c>
      <c r="C144" s="7" t="inlineStr">
        <is>
          <t>Pierce</t>
        </is>
      </c>
      <c r="D144" s="7" t="n">
        <v>35.30895334174023</v>
      </c>
      <c r="E144" s="7" t="n">
        <v>63.79142629042288</v>
      </c>
      <c r="F144" s="7">
        <f>D144-E144</f>
        <v/>
      </c>
      <c r="G144" s="7">
        <f>ABS(F144)</f>
        <v/>
      </c>
      <c r="H144" s="7">
        <f>F144^2</f>
        <v/>
      </c>
      <c r="I144" s="7" t="n">
        <v>113718</v>
      </c>
      <c r="J144" s="7" t="n">
        <v>1.513240857503153</v>
      </c>
      <c r="K144" s="7" t="n">
        <v>3.9</v>
      </c>
      <c r="L144" s="7" t="n">
        <v>30.9</v>
      </c>
    </row>
    <row r="145">
      <c r="A145" s="7" t="inlineStr">
        <is>
          <t>98305</t>
        </is>
      </c>
      <c r="B145" s="7" t="inlineStr">
        <is>
          <t>Beaver</t>
        </is>
      </c>
      <c r="C145" s="7" t="inlineStr">
        <is>
          <t>Clallam</t>
        </is>
      </c>
      <c r="D145" s="7" t="n">
        <v>12.4223602484472</v>
      </c>
      <c r="E145" s="7" t="n">
        <v>81.89302870768061</v>
      </c>
      <c r="F145" s="7">
        <f>D145-E145</f>
        <v/>
      </c>
      <c r="G145" s="7">
        <f>ABS(F145)</f>
        <v/>
      </c>
      <c r="H145" s="7">
        <f>F145^2</f>
        <v/>
      </c>
      <c r="I145" s="7" t="n">
        <v>98715</v>
      </c>
      <c r="J145" s="7" t="n">
        <v>0</v>
      </c>
      <c r="K145" s="7" t="n">
        <v>34.1</v>
      </c>
      <c r="L145" s="7" t="n">
        <v>17.3</v>
      </c>
    </row>
    <row r="146">
      <c r="A146" s="7" t="inlineStr">
        <is>
          <t>98310</t>
        </is>
      </c>
      <c r="B146" s="7" t="inlineStr">
        <is>
          <t>Bremerton</t>
        </is>
      </c>
      <c r="C146" s="7" t="inlineStr">
        <is>
          <t>Kitsap</t>
        </is>
      </c>
      <c r="D146" s="7" t="n">
        <v>43.80588767205867</v>
      </c>
      <c r="E146" s="7" t="n">
        <v>46.31291699792418</v>
      </c>
      <c r="F146" s="7">
        <f>D146-E146</f>
        <v/>
      </c>
      <c r="G146" s="7">
        <f>ABS(F146)</f>
        <v/>
      </c>
      <c r="H146" s="7">
        <f>F146^2</f>
        <v/>
      </c>
      <c r="I146" s="7" t="n">
        <v>75878</v>
      </c>
      <c r="J146" s="7" t="n">
        <v>37.9182156133829</v>
      </c>
      <c r="K146" s="7" t="n">
        <v>11.1</v>
      </c>
      <c r="L146" s="7" t="n">
        <v>25.7</v>
      </c>
    </row>
    <row r="147">
      <c r="A147" s="7" t="inlineStr">
        <is>
          <t>98311</t>
        </is>
      </c>
      <c r="B147" s="7" t="inlineStr">
        <is>
          <t>Bremerton</t>
        </is>
      </c>
      <c r="C147" s="7" t="inlineStr">
        <is>
          <t>Kitsap</t>
        </is>
      </c>
      <c r="D147" s="7" t="n">
        <v>62.43213897937025</v>
      </c>
      <c r="E147" s="7" t="n">
        <v>66.49478933128826</v>
      </c>
      <c r="F147" s="7">
        <f>D147-E147</f>
        <v/>
      </c>
      <c r="G147" s="7">
        <f>ABS(F147)</f>
        <v/>
      </c>
      <c r="H147" s="7">
        <f>F147^2</f>
        <v/>
      </c>
      <c r="I147" s="7" t="n">
        <v>108757</v>
      </c>
      <c r="J147" s="7" t="n">
        <v>13.47267462902642</v>
      </c>
      <c r="K147" s="7" t="n">
        <v>8.800000000000001</v>
      </c>
      <c r="L147" s="7" t="n">
        <v>24.3</v>
      </c>
    </row>
    <row r="148">
      <c r="A148" s="7" t="inlineStr">
        <is>
          <t>98312</t>
        </is>
      </c>
      <c r="B148" s="7" t="inlineStr">
        <is>
          <t>Bremerton</t>
        </is>
      </c>
      <c r="C148" s="7" t="inlineStr">
        <is>
          <t>Kitsap</t>
        </is>
      </c>
      <c r="D148" s="7" t="n">
        <v>68.44850065189048</v>
      </c>
      <c r="E148" s="7" t="n">
        <v>58.20365429716529</v>
      </c>
      <c r="F148" s="7">
        <f>D148-E148</f>
        <v/>
      </c>
      <c r="G148" s="7">
        <f>ABS(F148)</f>
        <v/>
      </c>
      <c r="H148" s="7">
        <f>F148^2</f>
        <v/>
      </c>
      <c r="I148" s="7" t="n">
        <v>90449</v>
      </c>
      <c r="J148" s="7" t="n">
        <v>22.84876140808344</v>
      </c>
      <c r="K148" s="7" t="n">
        <v>13.3</v>
      </c>
      <c r="L148" s="7" t="n">
        <v>26.3</v>
      </c>
    </row>
    <row r="149">
      <c r="A149" s="7" t="inlineStr">
        <is>
          <t>98314</t>
        </is>
      </c>
      <c r="B149" s="7" t="inlineStr">
        <is>
          <t>Bremerton</t>
        </is>
      </c>
      <c r="C149" s="7" t="inlineStr">
        <is>
          <t>Kitsap</t>
        </is>
      </c>
      <c r="D149" s="7" t="n">
        <v>90.90909090909091</v>
      </c>
      <c r="E149" s="7" t="n">
        <v>132.3014030644967</v>
      </c>
      <c r="F149" s="7">
        <f>D149-E149</f>
        <v/>
      </c>
      <c r="G149" s="7">
        <f>ABS(F149)</f>
        <v/>
      </c>
      <c r="H149" s="7">
        <f>F149^2</f>
        <v/>
      </c>
      <c r="I149" s="7" t="n">
        <v>184417</v>
      </c>
      <c r="J149" s="7" t="n">
        <v>15.15151515151515</v>
      </c>
      <c r="K149" s="7" t="n">
        <v>1.6</v>
      </c>
      <c r="L149" s="7" t="n">
        <v>14.8</v>
      </c>
    </row>
    <row r="150">
      <c r="A150" s="7" t="inlineStr">
        <is>
          <t>98315</t>
        </is>
      </c>
      <c r="B150" s="7" t="inlineStr">
        <is>
          <t>Silverdale</t>
        </is>
      </c>
      <c r="C150" s="7" t="inlineStr">
        <is>
          <t>Kitsap</t>
        </is>
      </c>
      <c r="D150" s="7" t="n">
        <v>32.48811410459588</v>
      </c>
      <c r="E150" s="7" t="n">
        <v>41.61877174386591</v>
      </c>
      <c r="F150" s="7">
        <f>D150-E150</f>
        <v/>
      </c>
      <c r="G150" s="7">
        <f>ABS(F150)</f>
        <v/>
      </c>
      <c r="H150" s="7">
        <f>F150^2</f>
        <v/>
      </c>
      <c r="I150" s="7" t="n">
        <v>79918</v>
      </c>
      <c r="J150" s="7" t="n">
        <v>42.39302694136292</v>
      </c>
      <c r="K150" s="7" t="n">
        <v>5.6</v>
      </c>
      <c r="L150" s="7" t="n">
        <v>14.2</v>
      </c>
    </row>
    <row r="151">
      <c r="A151" s="7" t="inlineStr">
        <is>
          <t>98320</t>
        </is>
      </c>
      <c r="B151" s="7" t="inlineStr">
        <is>
          <t>Brinnon</t>
        </is>
      </c>
      <c r="C151" s="7" t="inlineStr">
        <is>
          <t>Jefferson</t>
        </is>
      </c>
      <c r="D151" s="7" t="n">
        <v>30.58823529411765</v>
      </c>
      <c r="E151" s="7" t="n">
        <v>13.43716418822593</v>
      </c>
      <c r="F151" s="7">
        <f>D151-E151</f>
        <v/>
      </c>
      <c r="G151" s="7">
        <f>ABS(F151)</f>
        <v/>
      </c>
      <c r="H151" s="7">
        <f>F151^2</f>
        <v/>
      </c>
      <c r="I151" s="7" t="n">
        <v>55893</v>
      </c>
      <c r="J151" s="7" t="n">
        <v>1.176470588235294</v>
      </c>
      <c r="K151" s="7" t="n">
        <v>10.9</v>
      </c>
      <c r="L151" s="7" t="n">
        <v>27.1</v>
      </c>
    </row>
    <row r="152">
      <c r="A152" s="7" t="inlineStr">
        <is>
          <t>98321</t>
        </is>
      </c>
      <c r="B152" s="7" t="inlineStr">
        <is>
          <t>Buckley</t>
        </is>
      </c>
      <c r="C152" s="7" t="inlineStr">
        <is>
          <t>Pierce</t>
        </is>
      </c>
      <c r="D152" s="7" t="n">
        <v>74.2082873798645</v>
      </c>
      <c r="E152" s="7" t="n">
        <v>95.15381391822331</v>
      </c>
      <c r="F152" s="7">
        <f>D152-E152</f>
        <v/>
      </c>
      <c r="G152" s="7">
        <f>ABS(F152)</f>
        <v/>
      </c>
      <c r="H152" s="7">
        <f>F152^2</f>
        <v/>
      </c>
      <c r="I152" s="7" t="n">
        <v>127411</v>
      </c>
      <c r="J152" s="7" t="n">
        <v>4.773908933354341</v>
      </c>
      <c r="K152" s="7" t="n">
        <v>16.4</v>
      </c>
      <c r="L152" s="7" t="n">
        <v>34.3</v>
      </c>
    </row>
    <row r="153">
      <c r="A153" s="7" t="inlineStr">
        <is>
          <t>98323</t>
        </is>
      </c>
      <c r="B153" s="7" t="inlineStr">
        <is>
          <t>Carbonado</t>
        </is>
      </c>
      <c r="C153" s="7" t="inlineStr">
        <is>
          <t>Pierce</t>
        </is>
      </c>
      <c r="D153" s="7" t="n">
        <v>79.84790874524715</v>
      </c>
      <c r="E153" s="7" t="n">
        <v>82.97859370065954</v>
      </c>
      <c r="F153" s="7">
        <f>D153-E153</f>
        <v/>
      </c>
      <c r="G153" s="7">
        <f>ABS(F153)</f>
        <v/>
      </c>
      <c r="H153" s="7">
        <f>F153^2</f>
        <v/>
      </c>
      <c r="I153" s="7" t="n">
        <v>121875</v>
      </c>
      <c r="J153" s="7" t="n">
        <v>0</v>
      </c>
      <c r="K153" s="7" t="n">
        <v>6.2</v>
      </c>
      <c r="L153" s="7" t="n">
        <v>44</v>
      </c>
    </row>
    <row r="154">
      <c r="A154" s="7" t="inlineStr">
        <is>
          <t>98325</t>
        </is>
      </c>
      <c r="B154" s="7" t="inlineStr">
        <is>
          <t>Chimacum</t>
        </is>
      </c>
      <c r="C154" s="7" t="inlineStr">
        <is>
          <t>Jefferson</t>
        </is>
      </c>
      <c r="D154" s="7" t="n">
        <v>47.61904761904761</v>
      </c>
      <c r="E154" s="7" t="n">
        <v>47.19295527622533</v>
      </c>
      <c r="F154" s="7">
        <f>D154-E154</f>
        <v/>
      </c>
      <c r="G154" s="7">
        <f>ABS(F154)</f>
        <v/>
      </c>
      <c r="H154" s="7">
        <f>F154^2</f>
        <v/>
      </c>
      <c r="I154" s="7" t="n">
        <v>79191</v>
      </c>
      <c r="J154" s="7" t="n">
        <v>1.656314699792961</v>
      </c>
      <c r="K154" s="7" t="n">
        <v>23.9</v>
      </c>
      <c r="L154" s="7" t="n">
        <v>21.4</v>
      </c>
    </row>
    <row r="155">
      <c r="A155" s="7" t="inlineStr">
        <is>
          <t>98326</t>
        </is>
      </c>
      <c r="B155" s="7" t="inlineStr">
        <is>
          <t>Clallam Bay</t>
        </is>
      </c>
      <c r="C155" s="7" t="inlineStr">
        <is>
          <t>Clallam</t>
        </is>
      </c>
      <c r="D155" s="7" t="n">
        <v>6.802721088435374</v>
      </c>
      <c r="E155" s="7" t="n">
        <v>3.161650712635655</v>
      </c>
      <c r="F155" s="7">
        <f>D155-E155</f>
        <v/>
      </c>
      <c r="G155" s="7">
        <f>ABS(F155)</f>
        <v/>
      </c>
      <c r="H155" s="7">
        <f>F155^2</f>
        <v/>
      </c>
      <c r="I155" s="7" t="n">
        <v>46500</v>
      </c>
      <c r="J155" s="7" t="n">
        <v>14.73922902494331</v>
      </c>
      <c r="K155" s="7" t="n">
        <v>7.4</v>
      </c>
      <c r="L155" s="7" t="n">
        <v>20.3</v>
      </c>
    </row>
    <row r="156">
      <c r="A156" s="7" t="inlineStr">
        <is>
          <t>98327</t>
        </is>
      </c>
      <c r="B156" s="7" t="inlineStr">
        <is>
          <t>Dupont</t>
        </is>
      </c>
      <c r="C156" s="7" t="inlineStr">
        <is>
          <t>Pierce</t>
        </is>
      </c>
      <c r="D156" s="7" t="n">
        <v>74.46808510638297</v>
      </c>
      <c r="E156" s="7" t="n">
        <v>83.18510262947169</v>
      </c>
      <c r="F156" s="7">
        <f>D156-E156</f>
        <v/>
      </c>
      <c r="G156" s="7">
        <f>ABS(F156)</f>
        <v/>
      </c>
      <c r="H156" s="7">
        <f>F156^2</f>
        <v/>
      </c>
      <c r="I156" s="7" t="n">
        <v>120781</v>
      </c>
      <c r="J156" s="7" t="n">
        <v>21.88449848024316</v>
      </c>
      <c r="K156" s="7" t="n">
        <v>10.4</v>
      </c>
      <c r="L156" s="7" t="n">
        <v>24.9</v>
      </c>
    </row>
    <row r="157">
      <c r="A157" s="7" t="inlineStr">
        <is>
          <t>98328</t>
        </is>
      </c>
      <c r="B157" s="7" t="inlineStr">
        <is>
          <t>Eatonville</t>
        </is>
      </c>
      <c r="C157" s="7" t="inlineStr">
        <is>
          <t>Pierce</t>
        </is>
      </c>
      <c r="D157" s="7" t="n">
        <v>58.09128630705394</v>
      </c>
      <c r="E157" s="7" t="n">
        <v>71.2720697626645</v>
      </c>
      <c r="F157" s="7">
        <f>D157-E157</f>
        <v/>
      </c>
      <c r="G157" s="7">
        <f>ABS(F157)</f>
        <v/>
      </c>
      <c r="H157" s="7">
        <f>F157^2</f>
        <v/>
      </c>
      <c r="I157" s="7" t="n">
        <v>103696</v>
      </c>
      <c r="J157" s="7" t="n">
        <v>5.735904320234318</v>
      </c>
      <c r="K157" s="7" t="n">
        <v>13.3</v>
      </c>
      <c r="L157" s="7" t="n">
        <v>43.7</v>
      </c>
    </row>
    <row r="158">
      <c r="A158" s="7" t="inlineStr">
        <is>
          <t>98329</t>
        </is>
      </c>
      <c r="B158" s="7" t="inlineStr">
        <is>
          <t>Gig Harbor</t>
        </is>
      </c>
      <c r="C158" s="7" t="inlineStr">
        <is>
          <t>Pierce</t>
        </is>
      </c>
      <c r="D158" s="7" t="n">
        <v>86.45968089693834</v>
      </c>
      <c r="E158" s="7" t="n">
        <v>73.73312816092741</v>
      </c>
      <c r="F158" s="7">
        <f>D158-E158</f>
        <v/>
      </c>
      <c r="G158" s="7">
        <f>ABS(F158)</f>
        <v/>
      </c>
      <c r="H158" s="7">
        <f>F158^2</f>
        <v/>
      </c>
      <c r="I158" s="7" t="n">
        <v>110316</v>
      </c>
      <c r="J158" s="7" t="n">
        <v>2.522639068564036</v>
      </c>
      <c r="K158" s="7" t="n">
        <v>15.1</v>
      </c>
      <c r="L158" s="7" t="n">
        <v>33.1</v>
      </c>
    </row>
    <row r="159">
      <c r="A159" s="7" t="inlineStr">
        <is>
          <t>98331</t>
        </is>
      </c>
      <c r="B159" s="7" t="inlineStr">
        <is>
          <t>Forks</t>
        </is>
      </c>
      <c r="C159" s="7" t="inlineStr">
        <is>
          <t>Clallam</t>
        </is>
      </c>
      <c r="D159" s="7" t="n">
        <v>9.996552912788694</v>
      </c>
      <c r="E159" s="7" t="n">
        <v>22.62850001172632</v>
      </c>
      <c r="F159" s="7">
        <f>D159-E159</f>
        <v/>
      </c>
      <c r="G159" s="7">
        <f>ABS(F159)</f>
        <v/>
      </c>
      <c r="H159" s="7">
        <f>F159^2</f>
        <v/>
      </c>
      <c r="I159" s="7" t="n">
        <v>62135</v>
      </c>
      <c r="J159" s="7" t="n">
        <v>9.031368493622889</v>
      </c>
      <c r="K159" s="7" t="n">
        <v>15.1</v>
      </c>
      <c r="L159" s="7" t="n">
        <v>17</v>
      </c>
    </row>
    <row r="160">
      <c r="A160" s="7" t="inlineStr">
        <is>
          <t>98332</t>
        </is>
      </c>
      <c r="B160" s="7" t="inlineStr">
        <is>
          <t>Gig Harbor</t>
        </is>
      </c>
      <c r="C160" s="7" t="inlineStr">
        <is>
          <t>Pierce</t>
        </is>
      </c>
      <c r="D160" s="7" t="n">
        <v>153.6113936927772</v>
      </c>
      <c r="E160" s="7" t="n">
        <v>114.4672339635423</v>
      </c>
      <c r="F160" s="7">
        <f>D160-E160</f>
        <v/>
      </c>
      <c r="G160" s="7">
        <f>ABS(F160)</f>
        <v/>
      </c>
      <c r="H160" s="7">
        <f>F160^2</f>
        <v/>
      </c>
      <c r="I160" s="7" t="n">
        <v>135330</v>
      </c>
      <c r="J160" s="7" t="n">
        <v>7.782299084435401</v>
      </c>
      <c r="K160" s="7" t="n">
        <v>25.6</v>
      </c>
      <c r="L160" s="7" t="n">
        <v>32</v>
      </c>
    </row>
    <row r="161">
      <c r="A161" s="7" t="inlineStr">
        <is>
          <t>98333</t>
        </is>
      </c>
      <c r="B161" s="7" t="inlineStr">
        <is>
          <t>Fox Island</t>
        </is>
      </c>
      <c r="C161" s="7" t="inlineStr">
        <is>
          <t>Pierce</t>
        </is>
      </c>
      <c r="D161" s="7" t="n">
        <v>217.2236503856041</v>
      </c>
      <c r="E161" s="7" t="n">
        <v>147.5870001776567</v>
      </c>
      <c r="F161" s="7">
        <f>D161-E161</f>
        <v/>
      </c>
      <c r="G161" s="7">
        <f>ABS(F161)</f>
        <v/>
      </c>
      <c r="H161" s="7">
        <f>F161^2</f>
        <v/>
      </c>
      <c r="I161" s="7" t="n">
        <v>172292</v>
      </c>
      <c r="J161" s="7" t="n">
        <v>0</v>
      </c>
      <c r="K161" s="7" t="n">
        <v>24.9</v>
      </c>
      <c r="L161" s="7" t="n">
        <v>38.6</v>
      </c>
    </row>
    <row r="162">
      <c r="A162" s="7" t="inlineStr">
        <is>
          <t>98335</t>
        </is>
      </c>
      <c r="B162" s="7" t="inlineStr">
        <is>
          <t>Gig Harbor</t>
        </is>
      </c>
      <c r="C162" s="7" t="inlineStr">
        <is>
          <t>Pierce</t>
        </is>
      </c>
      <c r="D162" s="7" t="n">
        <v>135.7236554438128</v>
      </c>
      <c r="E162" s="7" t="n">
        <v>106.7875340976137</v>
      </c>
      <c r="F162" s="7">
        <f>D162-E162</f>
        <v/>
      </c>
      <c r="G162" s="7">
        <f>ABS(F162)</f>
        <v/>
      </c>
      <c r="H162" s="7">
        <f>F162^2</f>
        <v/>
      </c>
      <c r="I162" s="7" t="n">
        <v>128592</v>
      </c>
      <c r="J162" s="7" t="n">
        <v>14.91910800174901</v>
      </c>
      <c r="K162" s="7" t="n">
        <v>21.8</v>
      </c>
      <c r="L162" s="7" t="n">
        <v>27.6</v>
      </c>
    </row>
    <row r="163">
      <c r="A163" s="7" t="inlineStr">
        <is>
          <t>98336</t>
        </is>
      </c>
      <c r="B163" s="7" t="inlineStr">
        <is>
          <t>Glenoma</t>
        </is>
      </c>
      <c r="C163" s="7" t="inlineStr">
        <is>
          <t>Lewis</t>
        </is>
      </c>
      <c r="D163" s="7" t="n">
        <v>23.80952380952381</v>
      </c>
      <c r="E163" s="7" t="n">
        <v>9.724333607188974</v>
      </c>
      <c r="F163" s="7">
        <f>D163-E163</f>
        <v/>
      </c>
      <c r="G163" s="7">
        <f>ABS(F163)</f>
        <v/>
      </c>
      <c r="H163" s="7">
        <f>F163^2</f>
        <v/>
      </c>
      <c r="I163" s="7" t="n">
        <v>67632</v>
      </c>
      <c r="J163" s="7" t="n">
        <v>6.878306878306878</v>
      </c>
      <c r="K163" s="7" t="n">
        <v>0</v>
      </c>
      <c r="L163" s="7" t="n">
        <v>16.1</v>
      </c>
    </row>
    <row r="164">
      <c r="A164" s="7" t="inlineStr">
        <is>
          <t>98337</t>
        </is>
      </c>
      <c r="B164" s="7" t="inlineStr">
        <is>
          <t>Bremerton</t>
        </is>
      </c>
      <c r="C164" s="7" t="inlineStr">
        <is>
          <t>Kitsap</t>
        </is>
      </c>
      <c r="D164" s="7" t="n">
        <v>43.10818231740802</v>
      </c>
      <c r="E164" s="7" t="n">
        <v>44.39880825022199</v>
      </c>
      <c r="F164" s="7">
        <f>D164-E164</f>
        <v/>
      </c>
      <c r="G164" s="7">
        <f>ABS(F164)</f>
        <v/>
      </c>
      <c r="H164" s="7">
        <f>F164^2</f>
        <v/>
      </c>
      <c r="I164" s="7" t="n">
        <v>68561</v>
      </c>
      <c r="J164" s="7" t="n">
        <v>46.56781987918726</v>
      </c>
      <c r="K164" s="7" t="n">
        <v>10.6</v>
      </c>
      <c r="L164" s="7" t="n">
        <v>22.4</v>
      </c>
    </row>
    <row r="165">
      <c r="A165" s="7" t="inlineStr">
        <is>
          <t>98338</t>
        </is>
      </c>
      <c r="B165" s="7" t="inlineStr">
        <is>
          <t>Graham</t>
        </is>
      </c>
      <c r="C165" s="7" t="inlineStr">
        <is>
          <t>Pierce</t>
        </is>
      </c>
      <c r="D165" s="7" t="n">
        <v>58.96805896805897</v>
      </c>
      <c r="E165" s="7" t="n">
        <v>77.98800779460223</v>
      </c>
      <c r="F165" s="7">
        <f>D165-E165</f>
        <v/>
      </c>
      <c r="G165" s="7">
        <f>ABS(F165)</f>
        <v/>
      </c>
      <c r="H165" s="7">
        <f>F165^2</f>
        <v/>
      </c>
      <c r="I165" s="7" t="n">
        <v>114819</v>
      </c>
      <c r="J165" s="7" t="n">
        <v>4.484029484029485</v>
      </c>
      <c r="K165" s="7" t="n">
        <v>11.2</v>
      </c>
      <c r="L165" s="7" t="n">
        <v>40.9</v>
      </c>
    </row>
    <row r="166">
      <c r="A166" s="7" t="inlineStr">
        <is>
          <t>98339</t>
        </is>
      </c>
      <c r="B166" s="7" t="inlineStr">
        <is>
          <t>Port Hadlock</t>
        </is>
      </c>
      <c r="C166" s="7" t="inlineStr">
        <is>
          <t>Jefferson</t>
        </is>
      </c>
      <c r="D166" s="7" t="n">
        <v>53.2934131736527</v>
      </c>
      <c r="E166" s="7" t="n">
        <v>38.53717106655729</v>
      </c>
      <c r="F166" s="7">
        <f>D166-E166</f>
        <v/>
      </c>
      <c r="G166" s="7">
        <f>ABS(F166)</f>
        <v/>
      </c>
      <c r="H166" s="7">
        <f>F166^2</f>
        <v/>
      </c>
      <c r="I166" s="7" t="n">
        <v>77778</v>
      </c>
      <c r="J166" s="7" t="n">
        <v>9.401197604790418</v>
      </c>
      <c r="K166" s="7" t="n">
        <v>14.2</v>
      </c>
      <c r="L166" s="7" t="n">
        <v>19.3</v>
      </c>
    </row>
    <row r="167">
      <c r="A167" s="7" t="inlineStr">
        <is>
          <t>98340</t>
        </is>
      </c>
      <c r="B167" s="7" t="inlineStr">
        <is>
          <t>Hansville</t>
        </is>
      </c>
      <c r="C167" s="7" t="inlineStr">
        <is>
          <t>Kitsap</t>
        </is>
      </c>
      <c r="D167" s="7" t="n">
        <v>69.43713834823777</v>
      </c>
      <c r="E167" s="7" t="n">
        <v>49.05691594746353</v>
      </c>
      <c r="F167" s="7">
        <f>D167-E167</f>
        <v/>
      </c>
      <c r="G167" s="7">
        <f>ABS(F167)</f>
        <v/>
      </c>
      <c r="H167" s="7">
        <f>F167^2</f>
        <v/>
      </c>
      <c r="I167" s="7" t="n">
        <v>79876</v>
      </c>
      <c r="J167" s="7" t="n">
        <v>0</v>
      </c>
      <c r="K167" s="7" t="n">
        <v>17.4</v>
      </c>
      <c r="L167" s="7" t="n">
        <v>40.3</v>
      </c>
    </row>
    <row r="168">
      <c r="A168" s="7" t="inlineStr">
        <is>
          <t>98342</t>
        </is>
      </c>
      <c r="B168" s="7" t="inlineStr">
        <is>
          <t>Indianola</t>
        </is>
      </c>
      <c r="C168" s="7" t="inlineStr">
        <is>
          <t>Kitsap</t>
        </is>
      </c>
      <c r="D168" s="7" t="n">
        <v>98.01488833746897</v>
      </c>
      <c r="E168" s="7" t="n">
        <v>87.48042000883881</v>
      </c>
      <c r="F168" s="7">
        <f>D168-E168</f>
        <v/>
      </c>
      <c r="G168" s="7">
        <f>ABS(F168)</f>
        <v/>
      </c>
      <c r="H168" s="7">
        <f>F168^2</f>
        <v/>
      </c>
      <c r="I168" s="7" t="n">
        <v>102778</v>
      </c>
      <c r="J168" s="7" t="n">
        <v>0.9925558312655087</v>
      </c>
      <c r="K168" s="7" t="n">
        <v>28.4</v>
      </c>
      <c r="L168" s="7" t="n">
        <v>36.9</v>
      </c>
    </row>
    <row r="169">
      <c r="A169" s="7" t="inlineStr">
        <is>
          <t>98346</t>
        </is>
      </c>
      <c r="B169" s="7" t="inlineStr">
        <is>
          <t>Kingston</t>
        </is>
      </c>
      <c r="C169" s="7" t="inlineStr">
        <is>
          <t>Kitsap</t>
        </is>
      </c>
      <c r="D169" s="7" t="n">
        <v>100.0703070072651</v>
      </c>
      <c r="E169" s="7" t="n">
        <v>87.19763796379192</v>
      </c>
      <c r="F169" s="7">
        <f>D169-E169</f>
        <v/>
      </c>
      <c r="G169" s="7">
        <f>ABS(F169)</f>
        <v/>
      </c>
      <c r="H169" s="7">
        <f>F169^2</f>
        <v/>
      </c>
      <c r="I169" s="7" t="n">
        <v>114779</v>
      </c>
      <c r="J169" s="7" t="n">
        <v>10.61635809702367</v>
      </c>
      <c r="K169" s="7" t="n">
        <v>18.8</v>
      </c>
      <c r="L169" s="7" t="n">
        <v>33.9</v>
      </c>
    </row>
    <row r="170">
      <c r="A170" s="7" t="inlineStr">
        <is>
          <t>98349</t>
        </is>
      </c>
      <c r="B170" s="7" t="inlineStr">
        <is>
          <t>Lakebay</t>
        </is>
      </c>
      <c r="C170" s="7" t="inlineStr">
        <is>
          <t>Pierce</t>
        </is>
      </c>
      <c r="D170" s="7" t="n">
        <v>51.62775402828017</v>
      </c>
      <c r="E170" s="7" t="n">
        <v>50.00534970134356</v>
      </c>
      <c r="F170" s="7">
        <f>D170-E170</f>
        <v/>
      </c>
      <c r="G170" s="7">
        <f>ABS(F170)</f>
        <v/>
      </c>
      <c r="H170" s="7">
        <f>F170^2</f>
        <v/>
      </c>
      <c r="I170" s="7" t="n">
        <v>75875</v>
      </c>
      <c r="J170" s="7" t="n">
        <v>0</v>
      </c>
      <c r="K170" s="7" t="n">
        <v>18.8</v>
      </c>
      <c r="L170" s="7" t="n">
        <v>49.7</v>
      </c>
    </row>
    <row r="171">
      <c r="A171" s="7" t="inlineStr">
        <is>
          <t>98351</t>
        </is>
      </c>
      <c r="B171" s="7" t="inlineStr">
        <is>
          <t>Longbranch</t>
        </is>
      </c>
      <c r="C171" s="7" t="inlineStr">
        <is>
          <t>Pierce</t>
        </is>
      </c>
      <c r="D171" s="7" t="n">
        <v>40.34229828850856</v>
      </c>
      <c r="E171" s="7" t="n">
        <v>138.9000180322033</v>
      </c>
      <c r="F171" s="7">
        <f>D171-E171</f>
        <v/>
      </c>
      <c r="G171" s="7">
        <f>ABS(F171)</f>
        <v/>
      </c>
      <c r="H171" s="7">
        <f>F171^2</f>
        <v/>
      </c>
      <c r="I171" s="7" t="n">
        <v>151660</v>
      </c>
      <c r="J171" s="7" t="n">
        <v>0</v>
      </c>
      <c r="K171" s="7" t="n">
        <v>28.1</v>
      </c>
      <c r="L171" s="7" t="n">
        <v>39.6</v>
      </c>
    </row>
    <row r="172">
      <c r="A172" s="7" t="inlineStr">
        <is>
          <t>98354</t>
        </is>
      </c>
      <c r="B172" s="7" t="inlineStr">
        <is>
          <t>Milton</t>
        </is>
      </c>
      <c r="C172" s="7" t="inlineStr">
        <is>
          <t>Pierce</t>
        </is>
      </c>
      <c r="D172" s="7" t="n">
        <v>54.36774587660354</v>
      </c>
      <c r="E172" s="7" t="n">
        <v>70.31868114888914</v>
      </c>
      <c r="F172" s="7">
        <f>D172-E172</f>
        <v/>
      </c>
      <c r="G172" s="7">
        <f>ABS(F172)</f>
        <v/>
      </c>
      <c r="H172" s="7">
        <f>F172^2</f>
        <v/>
      </c>
      <c r="I172" s="7" t="n">
        <v>96866</v>
      </c>
      <c r="J172" s="7" t="n">
        <v>39.18753817959683</v>
      </c>
      <c r="K172" s="7" t="n">
        <v>8.9</v>
      </c>
      <c r="L172" s="7" t="n">
        <v>30.5</v>
      </c>
    </row>
    <row r="173">
      <c r="A173" s="7" t="inlineStr">
        <is>
          <t>98355</t>
        </is>
      </c>
      <c r="B173" s="7" t="inlineStr">
        <is>
          <t>Mineral</t>
        </is>
      </c>
      <c r="C173" s="7" t="inlineStr">
        <is>
          <t>Lewis</t>
        </is>
      </c>
      <c r="D173" s="7" t="n">
        <v>69.18238993710692</v>
      </c>
      <c r="E173" s="7" t="n">
        <v>53.52938813979306</v>
      </c>
      <c r="F173" s="7">
        <f>D173-E173</f>
        <v/>
      </c>
      <c r="G173" s="7">
        <f>ABS(F173)</f>
        <v/>
      </c>
      <c r="H173" s="7">
        <f>F173^2</f>
        <v/>
      </c>
      <c r="I173" s="7" t="n">
        <v>102438</v>
      </c>
      <c r="J173" s="7" t="n">
        <v>0</v>
      </c>
      <c r="K173" s="7" t="n">
        <v>7</v>
      </c>
      <c r="L173" s="7" t="n">
        <v>26.5</v>
      </c>
    </row>
    <row r="174">
      <c r="A174" s="7" t="inlineStr">
        <is>
          <t>98356</t>
        </is>
      </c>
      <c r="B174" s="7" t="inlineStr">
        <is>
          <t>Morton</t>
        </is>
      </c>
      <c r="C174" s="7" t="inlineStr">
        <is>
          <t>Lewis</t>
        </is>
      </c>
      <c r="D174" s="7" t="n">
        <v>24.88038277511962</v>
      </c>
      <c r="E174" s="7" t="n">
        <v>16.87890566135454</v>
      </c>
      <c r="F174" s="7">
        <f>D174-E174</f>
        <v/>
      </c>
      <c r="G174" s="7">
        <f>ABS(F174)</f>
        <v/>
      </c>
      <c r="H174" s="7">
        <f>F174^2</f>
        <v/>
      </c>
      <c r="I174" s="7" t="n">
        <v>60060</v>
      </c>
      <c r="J174" s="7" t="n">
        <v>5.55023923444976</v>
      </c>
      <c r="K174" s="7" t="n">
        <v>6.8</v>
      </c>
      <c r="L174" s="7" t="n">
        <v>34.8</v>
      </c>
    </row>
    <row r="175">
      <c r="A175" s="7" t="inlineStr">
        <is>
          <t>98357</t>
        </is>
      </c>
      <c r="B175" s="7" t="inlineStr">
        <is>
          <t>Neah Bay</t>
        </is>
      </c>
      <c r="C175" s="7" t="inlineStr">
        <is>
          <t>Clallam</t>
        </is>
      </c>
      <c r="D175" s="7" t="n">
        <v>23.29749103942653</v>
      </c>
      <c r="E175" s="7" t="n">
        <v>11.25154463241811</v>
      </c>
      <c r="F175" s="7">
        <f>D175-E175</f>
        <v/>
      </c>
      <c r="G175" s="7">
        <f>ABS(F175)</f>
        <v/>
      </c>
      <c r="H175" s="7">
        <f>F175^2</f>
        <v/>
      </c>
      <c r="I175" s="7" t="n">
        <v>55250</v>
      </c>
      <c r="J175" s="7" t="n">
        <v>8.243727598566309</v>
      </c>
      <c r="K175" s="7" t="n">
        <v>10.3</v>
      </c>
      <c r="L175" s="7" t="n">
        <v>15.2</v>
      </c>
    </row>
    <row r="176">
      <c r="A176" s="7" t="inlineStr">
        <is>
          <t>98358</t>
        </is>
      </c>
      <c r="B176" s="7" t="inlineStr">
        <is>
          <t>Nordland</t>
        </is>
      </c>
      <c r="C176" s="7" t="inlineStr">
        <is>
          <t>Jefferson</t>
        </is>
      </c>
      <c r="D176" s="7" t="n">
        <v>113.5646687697161</v>
      </c>
      <c r="E176" s="7" t="n">
        <v>102.348229415873</v>
      </c>
      <c r="F176" s="7">
        <f>D176-E176</f>
        <v/>
      </c>
      <c r="G176" s="7">
        <f>ABS(F176)</f>
        <v/>
      </c>
      <c r="H176" s="7">
        <f>F176^2</f>
        <v/>
      </c>
      <c r="I176" s="7" t="n">
        <v>110368</v>
      </c>
      <c r="J176" s="7" t="n">
        <v>4.258675078864353</v>
      </c>
      <c r="K176" s="7" t="n">
        <v>35.4</v>
      </c>
      <c r="L176" s="7" t="n">
        <v>30.6</v>
      </c>
    </row>
    <row r="177">
      <c r="A177" s="7" t="inlineStr">
        <is>
          <t>98359</t>
        </is>
      </c>
      <c r="B177" s="7" t="inlineStr">
        <is>
          <t>Olalla</t>
        </is>
      </c>
      <c r="C177" s="7" t="inlineStr">
        <is>
          <t>Kitsap</t>
        </is>
      </c>
      <c r="D177" s="7" t="n">
        <v>96.3855421686747</v>
      </c>
      <c r="E177" s="7" t="n">
        <v>77.2129716389619</v>
      </c>
      <c r="F177" s="7">
        <f>D177-E177</f>
        <v/>
      </c>
      <c r="G177" s="7">
        <f>ABS(F177)</f>
        <v/>
      </c>
      <c r="H177" s="7">
        <f>F177^2</f>
        <v/>
      </c>
      <c r="I177" s="7" t="n">
        <v>114091</v>
      </c>
      <c r="J177" s="7" t="n">
        <v>0</v>
      </c>
      <c r="K177" s="7" t="n">
        <v>15.7</v>
      </c>
      <c r="L177" s="7" t="n">
        <v>32.9</v>
      </c>
    </row>
    <row r="178">
      <c r="A178" s="7" t="inlineStr">
        <is>
          <t>98360</t>
        </is>
      </c>
      <c r="B178" s="7" t="inlineStr">
        <is>
          <t>Orting</t>
        </is>
      </c>
      <c r="C178" s="7" t="inlineStr">
        <is>
          <t>Pierce</t>
        </is>
      </c>
      <c r="D178" s="7" t="n">
        <v>50.47318611987382</v>
      </c>
      <c r="E178" s="7" t="n">
        <v>90.04282879502804</v>
      </c>
      <c r="F178" s="7">
        <f>D178-E178</f>
        <v/>
      </c>
      <c r="G178" s="7">
        <f>ABS(F178)</f>
        <v/>
      </c>
      <c r="H178" s="7">
        <f>F178^2</f>
        <v/>
      </c>
      <c r="I178" s="7" t="n">
        <v>125842</v>
      </c>
      <c r="J178" s="7" t="n">
        <v>1.558730747819633</v>
      </c>
      <c r="K178" s="7" t="n">
        <v>13.3</v>
      </c>
      <c r="L178" s="7" t="n">
        <v>40.6</v>
      </c>
    </row>
    <row r="179">
      <c r="A179" s="7" t="inlineStr">
        <is>
          <t>98362</t>
        </is>
      </c>
      <c r="B179" s="7" t="inlineStr">
        <is>
          <t>Port Angeles</t>
        </is>
      </c>
      <c r="C179" s="7" t="inlineStr">
        <is>
          <t>Clallam</t>
        </is>
      </c>
      <c r="D179" s="7" t="n">
        <v>42.67521295437295</v>
      </c>
      <c r="E179" s="7" t="n">
        <v>34.02354632025698</v>
      </c>
      <c r="F179" s="7">
        <f>D179-E179</f>
        <v/>
      </c>
      <c r="G179" s="7">
        <f>ABS(F179)</f>
        <v/>
      </c>
      <c r="H179" s="7">
        <f>F179^2</f>
        <v/>
      </c>
      <c r="I179" s="7" t="n">
        <v>70123</v>
      </c>
      <c r="J179" s="7" t="n">
        <v>17.80382896179472</v>
      </c>
      <c r="K179" s="7" t="n">
        <v>13</v>
      </c>
      <c r="L179" s="7" t="n">
        <v>18.8</v>
      </c>
    </row>
    <row r="180">
      <c r="A180" s="7" t="inlineStr">
        <is>
          <t>98363</t>
        </is>
      </c>
      <c r="B180" s="7" t="inlineStr">
        <is>
          <t>Port Angeles</t>
        </is>
      </c>
      <c r="C180" s="7" t="inlineStr">
        <is>
          <t>Clallam</t>
        </is>
      </c>
      <c r="D180" s="7" t="n">
        <v>40.08971124194</v>
      </c>
      <c r="E180" s="7" t="n">
        <v>23.36947016793015</v>
      </c>
      <c r="F180" s="7">
        <f>D180-E180</f>
        <v/>
      </c>
      <c r="G180" s="7">
        <f>ABS(F180)</f>
        <v/>
      </c>
      <c r="H180" s="7">
        <f>F180^2</f>
        <v/>
      </c>
      <c r="I180" s="7" t="n">
        <v>64869</v>
      </c>
      <c r="J180" s="7" t="n">
        <v>8.088029156153631</v>
      </c>
      <c r="K180" s="7" t="n">
        <v>12.6</v>
      </c>
      <c r="L180" s="7" t="n">
        <v>20</v>
      </c>
    </row>
    <row r="181">
      <c r="A181" s="7" t="inlineStr">
        <is>
          <t>98365</t>
        </is>
      </c>
      <c r="B181" s="7" t="inlineStr">
        <is>
          <t>Port Ludlow</t>
        </is>
      </c>
      <c r="C181" s="7" t="inlineStr">
        <is>
          <t>Jefferson</t>
        </is>
      </c>
      <c r="D181" s="7" t="n">
        <v>88.42239185750635</v>
      </c>
      <c r="E181" s="7" t="n">
        <v>80.29835951934297</v>
      </c>
      <c r="F181" s="7">
        <f>D181-E181</f>
        <v/>
      </c>
      <c r="G181" s="7">
        <f>ABS(F181)</f>
        <v/>
      </c>
      <c r="H181" s="7">
        <f>F181^2</f>
        <v/>
      </c>
      <c r="I181" s="7" t="n">
        <v>98776</v>
      </c>
      <c r="J181" s="7" t="n">
        <v>6.361323155216285</v>
      </c>
      <c r="K181" s="7" t="n">
        <v>28</v>
      </c>
      <c r="L181" s="7" t="n">
        <v>31.3</v>
      </c>
    </row>
    <row r="182">
      <c r="A182" s="7" t="inlineStr">
        <is>
          <t>98366</t>
        </is>
      </c>
      <c r="B182" s="7" t="inlineStr">
        <is>
          <t>Port Orchard</t>
        </is>
      </c>
      <c r="C182" s="7" t="inlineStr">
        <is>
          <t>Kitsap</t>
        </is>
      </c>
      <c r="D182" s="7" t="n">
        <v>59.04227557411274</v>
      </c>
      <c r="E182" s="7" t="n">
        <v>60.45820320225982</v>
      </c>
      <c r="F182" s="7">
        <f>D182-E182</f>
        <v/>
      </c>
      <c r="G182" s="7">
        <f>ABS(F182)</f>
        <v/>
      </c>
      <c r="H182" s="7">
        <f>F182^2</f>
        <v/>
      </c>
      <c r="I182" s="7" t="n">
        <v>92011</v>
      </c>
      <c r="J182" s="7" t="n">
        <v>19.81993736951983</v>
      </c>
      <c r="K182" s="7" t="n">
        <v>13.1</v>
      </c>
      <c r="L182" s="7" t="n">
        <v>33.1</v>
      </c>
    </row>
    <row r="183">
      <c r="A183" s="7" t="inlineStr">
        <is>
          <t>98367</t>
        </is>
      </c>
      <c r="B183" s="7" t="inlineStr">
        <is>
          <t>Port Orchard</t>
        </is>
      </c>
      <c r="C183" s="7" t="inlineStr">
        <is>
          <t>Kitsap</t>
        </is>
      </c>
      <c r="D183" s="7" t="n">
        <v>91.90186879950781</v>
      </c>
      <c r="E183" s="7" t="n">
        <v>82.73746505192798</v>
      </c>
      <c r="F183" s="7">
        <f>D183-E183</f>
        <v/>
      </c>
      <c r="G183" s="7">
        <f>ABS(F183)</f>
        <v/>
      </c>
      <c r="H183" s="7">
        <f>F183^2</f>
        <v/>
      </c>
      <c r="I183" s="7" t="n">
        <v>115482</v>
      </c>
      <c r="J183" s="7" t="n">
        <v>5.352610935937861</v>
      </c>
      <c r="K183" s="7" t="n">
        <v>17.1</v>
      </c>
      <c r="L183" s="7" t="n">
        <v>34.8</v>
      </c>
    </row>
    <row r="184">
      <c r="A184" s="7" t="inlineStr">
        <is>
          <t>98368</t>
        </is>
      </c>
      <c r="B184" s="7" t="inlineStr">
        <is>
          <t>Port Townsend</t>
        </is>
      </c>
      <c r="C184" s="7" t="inlineStr">
        <is>
          <t>Jefferson</t>
        </is>
      </c>
      <c r="D184" s="7" t="n">
        <v>100.5905110975361</v>
      </c>
      <c r="E184" s="7" t="n">
        <v>40.02615179305954</v>
      </c>
      <c r="F184" s="7">
        <f>D184-E184</f>
        <v/>
      </c>
      <c r="G184" s="7">
        <f>ABS(F184)</f>
        <v/>
      </c>
      <c r="H184" s="7">
        <f>F184^2</f>
        <v/>
      </c>
      <c r="I184" s="7" t="n">
        <v>69688</v>
      </c>
      <c r="J184" s="7" t="n">
        <v>11.28079820810426</v>
      </c>
      <c r="K184" s="7" t="n">
        <v>24.7</v>
      </c>
      <c r="L184" s="7" t="n">
        <v>16</v>
      </c>
    </row>
    <row r="185">
      <c r="A185" s="7" t="inlineStr">
        <is>
          <t>98370</t>
        </is>
      </c>
      <c r="B185" s="7" t="inlineStr">
        <is>
          <t>Poulsbo</t>
        </is>
      </c>
      <c r="C185" s="7" t="inlineStr">
        <is>
          <t>Kitsap</t>
        </is>
      </c>
      <c r="D185" s="7" t="n">
        <v>90.60640408047605</v>
      </c>
      <c r="E185" s="7" t="n">
        <v>93.33053968859635</v>
      </c>
      <c r="F185" s="7">
        <f>D185-E185</f>
        <v/>
      </c>
      <c r="G185" s="7">
        <f>ABS(F185)</f>
        <v/>
      </c>
      <c r="H185" s="7">
        <f>F185^2</f>
        <v/>
      </c>
      <c r="I185" s="7" t="n">
        <v>116756</v>
      </c>
      <c r="J185" s="7" t="n">
        <v>12.27684896571267</v>
      </c>
      <c r="K185" s="7" t="n">
        <v>23</v>
      </c>
      <c r="L185" s="7" t="n">
        <v>28.5</v>
      </c>
    </row>
    <row r="186">
      <c r="A186" s="7" t="inlineStr">
        <is>
          <t>98371</t>
        </is>
      </c>
      <c r="B186" s="7" t="inlineStr">
        <is>
          <t>Puyallup</t>
        </is>
      </c>
      <c r="C186" s="7" t="inlineStr">
        <is>
          <t>Pierce</t>
        </is>
      </c>
      <c r="D186" s="7" t="n">
        <v>73.11113283159027</v>
      </c>
      <c r="E186" s="7" t="n">
        <v>68.1241801386572</v>
      </c>
      <c r="F186" s="7">
        <f>D186-E186</f>
        <v/>
      </c>
      <c r="G186" s="7">
        <f>ABS(F186)</f>
        <v/>
      </c>
      <c r="H186" s="7">
        <f>F186^2</f>
        <v/>
      </c>
      <c r="I186" s="7" t="n">
        <v>97242</v>
      </c>
      <c r="J186" s="7" t="n">
        <v>20.03714201935295</v>
      </c>
      <c r="K186" s="7" t="n">
        <v>15.5</v>
      </c>
      <c r="L186" s="7" t="n">
        <v>31.6</v>
      </c>
    </row>
    <row r="187">
      <c r="A187" s="7" t="inlineStr">
        <is>
          <t>98372</t>
        </is>
      </c>
      <c r="B187" s="7" t="inlineStr">
        <is>
          <t>Puyallup</t>
        </is>
      </c>
      <c r="C187" s="7" t="inlineStr">
        <is>
          <t>Pierce</t>
        </is>
      </c>
      <c r="D187" s="7" t="n">
        <v>60.82357385719683</v>
      </c>
      <c r="E187" s="7" t="n">
        <v>74.64835010296562</v>
      </c>
      <c r="F187" s="7">
        <f>D187-E187</f>
        <v/>
      </c>
      <c r="G187" s="7">
        <f>ABS(F187)</f>
        <v/>
      </c>
      <c r="H187" s="7">
        <f>F187^2</f>
        <v/>
      </c>
      <c r="I187" s="7" t="n">
        <v>98152</v>
      </c>
      <c r="J187" s="7" t="n">
        <v>37.15527011711372</v>
      </c>
      <c r="K187" s="7" t="n">
        <v>16.6</v>
      </c>
      <c r="L187" s="7" t="n">
        <v>29</v>
      </c>
    </row>
    <row r="188">
      <c r="A188" s="7" t="inlineStr">
        <is>
          <t>98373</t>
        </is>
      </c>
      <c r="B188" s="7" t="inlineStr">
        <is>
          <t>Puyallup</t>
        </is>
      </c>
      <c r="C188" s="7" t="inlineStr">
        <is>
          <t>Pierce</t>
        </is>
      </c>
      <c r="D188" s="7" t="n">
        <v>52.67817618415228</v>
      </c>
      <c r="E188" s="7" t="n">
        <v>74.33429053487957</v>
      </c>
      <c r="F188" s="7">
        <f>D188-E188</f>
        <v/>
      </c>
      <c r="G188" s="7">
        <f>ABS(F188)</f>
        <v/>
      </c>
      <c r="H188" s="7">
        <f>F188^2</f>
        <v/>
      </c>
      <c r="I188" s="7" t="n">
        <v>103796</v>
      </c>
      <c r="J188" s="7" t="n">
        <v>32.92607348384241</v>
      </c>
      <c r="K188" s="7" t="n">
        <v>9.199999999999999</v>
      </c>
      <c r="L188" s="7" t="n">
        <v>29.7</v>
      </c>
    </row>
    <row r="189">
      <c r="A189" s="7" t="inlineStr">
        <is>
          <t>98374</t>
        </is>
      </c>
      <c r="B189" s="7" t="inlineStr">
        <is>
          <t>Puyallup</t>
        </is>
      </c>
      <c r="C189" s="7" t="inlineStr">
        <is>
          <t>Pierce</t>
        </is>
      </c>
      <c r="D189" s="7" t="n">
        <v>71.35880494110889</v>
      </c>
      <c r="E189" s="7" t="n">
        <v>88.17077006928957</v>
      </c>
      <c r="F189" s="7">
        <f>D189-E189</f>
        <v/>
      </c>
      <c r="G189" s="7">
        <f>ABS(F189)</f>
        <v/>
      </c>
      <c r="H189" s="7">
        <f>F189^2</f>
        <v/>
      </c>
      <c r="I189" s="7" t="n">
        <v>112662</v>
      </c>
      <c r="J189" s="7" t="n">
        <v>18.02355644929618</v>
      </c>
      <c r="K189" s="7" t="n">
        <v>16.7</v>
      </c>
      <c r="L189" s="7" t="n">
        <v>35.8</v>
      </c>
    </row>
    <row r="190">
      <c r="A190" s="7" t="inlineStr">
        <is>
          <t>98375</t>
        </is>
      </c>
      <c r="B190" s="7" t="inlineStr">
        <is>
          <t>Puyallup</t>
        </is>
      </c>
      <c r="C190" s="7" t="inlineStr">
        <is>
          <t>Pierce</t>
        </is>
      </c>
      <c r="D190" s="7" t="n">
        <v>65.25423728813558</v>
      </c>
      <c r="E190" s="7" t="n">
        <v>84.55507768532588</v>
      </c>
      <c r="F190" s="7">
        <f>D190-E190</f>
        <v/>
      </c>
      <c r="G190" s="7">
        <f>ABS(F190)</f>
        <v/>
      </c>
      <c r="H190" s="7">
        <f>F190^2</f>
        <v/>
      </c>
      <c r="I190" s="7" t="n">
        <v>117074</v>
      </c>
      <c r="J190" s="7" t="n">
        <v>8.295668549905837</v>
      </c>
      <c r="K190" s="7" t="n">
        <v>12.5</v>
      </c>
      <c r="L190" s="7" t="n">
        <v>35.2</v>
      </c>
    </row>
    <row r="191">
      <c r="A191" s="7" t="inlineStr">
        <is>
          <t>98376</t>
        </is>
      </c>
      <c r="B191" s="7" t="inlineStr">
        <is>
          <t>Quilcene</t>
        </is>
      </c>
      <c r="C191" s="7" t="inlineStr">
        <is>
          <t>Jefferson</t>
        </is>
      </c>
      <c r="D191" s="7" t="n">
        <v>51.3595166163142</v>
      </c>
      <c r="E191" s="7" t="n">
        <v>40.55690956777669</v>
      </c>
      <c r="F191" s="7">
        <f>D191-E191</f>
        <v/>
      </c>
      <c r="G191" s="7">
        <f>ABS(F191)</f>
        <v/>
      </c>
      <c r="H191" s="7">
        <f>F191^2</f>
        <v/>
      </c>
      <c r="I191" s="7" t="n">
        <v>57250</v>
      </c>
      <c r="J191" s="7" t="n">
        <v>1.283987915407855</v>
      </c>
      <c r="K191" s="7" t="n">
        <v>26.2</v>
      </c>
      <c r="L191" s="7" t="n">
        <v>44.8</v>
      </c>
    </row>
    <row r="192">
      <c r="A192" s="7" t="inlineStr">
        <is>
          <t>98377</t>
        </is>
      </c>
      <c r="B192" s="7" t="inlineStr">
        <is>
          <t>Randle</t>
        </is>
      </c>
      <c r="C192" s="7" t="inlineStr">
        <is>
          <t>Lewis</t>
        </is>
      </c>
      <c r="D192" s="7" t="n">
        <v>12.22493887530563</v>
      </c>
      <c r="E192" s="7" t="n">
        <v>14.56267904879807</v>
      </c>
      <c r="F192" s="7">
        <f>D192-E192</f>
        <v/>
      </c>
      <c r="G192" s="7">
        <f>ABS(F192)</f>
        <v/>
      </c>
      <c r="H192" s="7">
        <f>F192^2</f>
        <v/>
      </c>
      <c r="I192" s="7" t="n">
        <v>56167</v>
      </c>
      <c r="J192" s="7" t="n">
        <v>0</v>
      </c>
      <c r="K192" s="7" t="n">
        <v>10</v>
      </c>
      <c r="L192" s="7" t="n">
        <v>32.8</v>
      </c>
    </row>
    <row r="193">
      <c r="A193" s="7" t="inlineStr">
        <is>
          <t>98380</t>
        </is>
      </c>
      <c r="B193" s="7" t="inlineStr">
        <is>
          <t>Seabeck</t>
        </is>
      </c>
      <c r="C193" s="7" t="inlineStr">
        <is>
          <t>Kitsap</t>
        </is>
      </c>
      <c r="D193" s="7" t="n">
        <v>77.28557964184732</v>
      </c>
      <c r="E193" s="7" t="n">
        <v>86.57288335423735</v>
      </c>
      <c r="F193" s="7">
        <f>D193-E193</f>
        <v/>
      </c>
      <c r="G193" s="7">
        <f>ABS(F193)</f>
        <v/>
      </c>
      <c r="H193" s="7">
        <f>F193^2</f>
        <v/>
      </c>
      <c r="I193" s="7" t="n">
        <v>125229</v>
      </c>
      <c r="J193" s="7" t="n">
        <v>0</v>
      </c>
      <c r="K193" s="7" t="n">
        <v>10</v>
      </c>
      <c r="L193" s="7" t="n">
        <v>32.7</v>
      </c>
    </row>
    <row r="194">
      <c r="A194" s="7" t="inlineStr">
        <is>
          <t>98381</t>
        </is>
      </c>
      <c r="B194" s="7" t="inlineStr">
        <is>
          <t>Sekiu</t>
        </is>
      </c>
      <c r="C194" s="7" t="inlineStr">
        <is>
          <t>Clallam</t>
        </is>
      </c>
      <c r="D194" s="7" t="n">
        <v>62.01550387596899</v>
      </c>
      <c r="E194" s="7" t="n">
        <v>7.018151486443003</v>
      </c>
      <c r="F194" s="7">
        <f>D194-E194</f>
        <v/>
      </c>
      <c r="G194" s="7">
        <f>ABS(F194)</f>
        <v/>
      </c>
      <c r="H194" s="7">
        <f>F194^2</f>
        <v/>
      </c>
      <c r="I194" s="7" t="n">
        <v>58571</v>
      </c>
      <c r="J194" s="7" t="n">
        <v>0</v>
      </c>
      <c r="K194" s="7" t="n">
        <v>0</v>
      </c>
      <c r="L194" s="7" t="n">
        <v>32.2</v>
      </c>
    </row>
    <row r="195">
      <c r="A195" s="7" t="inlineStr">
        <is>
          <t>98382</t>
        </is>
      </c>
      <c r="B195" s="7" t="inlineStr">
        <is>
          <t>Sequim</t>
        </is>
      </c>
      <c r="C195" s="7" t="inlineStr">
        <is>
          <t>Clallam</t>
        </is>
      </c>
      <c r="D195" s="7" t="n">
        <v>61.63357062570251</v>
      </c>
      <c r="E195" s="7" t="n">
        <v>35.65001110170208</v>
      </c>
      <c r="F195" s="7">
        <f>D195-E195</f>
        <v/>
      </c>
      <c r="G195" s="7">
        <f>ABS(F195)</f>
        <v/>
      </c>
      <c r="H195" s="7">
        <f>F195^2</f>
        <v/>
      </c>
      <c r="I195" s="7" t="n">
        <v>74189</v>
      </c>
      <c r="J195" s="7" t="n">
        <v>9.647808167853128</v>
      </c>
      <c r="K195" s="7" t="n">
        <v>14.8</v>
      </c>
      <c r="L195" s="7" t="n">
        <v>20.2</v>
      </c>
    </row>
    <row r="196">
      <c r="A196" s="7" t="inlineStr">
        <is>
          <t>98383</t>
        </is>
      </c>
      <c r="B196" s="7" t="inlineStr">
        <is>
          <t>Silverdale</t>
        </is>
      </c>
      <c r="C196" s="7" t="inlineStr">
        <is>
          <t>Kitsap</t>
        </is>
      </c>
      <c r="D196" s="7" t="n">
        <v>65.51158499077302</v>
      </c>
      <c r="E196" s="7" t="n">
        <v>77.9230207083906</v>
      </c>
      <c r="F196" s="7">
        <f>D196-E196</f>
        <v/>
      </c>
      <c r="G196" s="7">
        <f>ABS(F196)</f>
        <v/>
      </c>
      <c r="H196" s="7">
        <f>F196^2</f>
        <v/>
      </c>
      <c r="I196" s="7" t="n">
        <v>111139</v>
      </c>
      <c r="J196" s="7" t="n">
        <v>37.36928439614517</v>
      </c>
      <c r="K196" s="7" t="n">
        <v>9.5</v>
      </c>
      <c r="L196" s="7" t="n">
        <v>23.3</v>
      </c>
    </row>
    <row r="197">
      <c r="A197" s="7" t="inlineStr">
        <is>
          <t>98385</t>
        </is>
      </c>
      <c r="B197" s="7" t="inlineStr">
        <is>
          <t>South Prairie</t>
        </is>
      </c>
      <c r="C197" s="7" t="inlineStr">
        <is>
          <t>Pierce</t>
        </is>
      </c>
      <c r="D197" s="7" t="n">
        <v>35.29411764705883</v>
      </c>
      <c r="E197" s="7" t="n">
        <v>104.9983337012434</v>
      </c>
      <c r="F197" s="7">
        <f>D197-E197</f>
        <v/>
      </c>
      <c r="G197" s="7">
        <f>ABS(F197)</f>
        <v/>
      </c>
      <c r="H197" s="7">
        <f>F197^2</f>
        <v/>
      </c>
      <c r="I197" s="7" t="n">
        <v>152500</v>
      </c>
      <c r="J197" s="7" t="n">
        <v>0</v>
      </c>
      <c r="K197" s="7" t="n">
        <v>2.9</v>
      </c>
      <c r="L197" s="7" t="n">
        <v>39.4</v>
      </c>
    </row>
    <row r="198">
      <c r="A198" s="7" t="inlineStr">
        <is>
          <t>98387</t>
        </is>
      </c>
      <c r="B198" s="7" t="inlineStr">
        <is>
          <t>Spanaway</t>
        </is>
      </c>
      <c r="C198" s="7" t="inlineStr">
        <is>
          <t>Pierce</t>
        </is>
      </c>
      <c r="D198" s="7" t="n">
        <v>45.79407032866008</v>
      </c>
      <c r="E198" s="7" t="n">
        <v>68.47145875929613</v>
      </c>
      <c r="F198" s="7">
        <f>D198-E198</f>
        <v/>
      </c>
      <c r="G198" s="7">
        <f>ABS(F198)</f>
        <v/>
      </c>
      <c r="H198" s="7">
        <f>F198^2</f>
        <v/>
      </c>
      <c r="I198" s="7" t="n">
        <v>106872</v>
      </c>
      <c r="J198" s="7" t="n">
        <v>5.481498506090555</v>
      </c>
      <c r="K198" s="7" t="n">
        <v>10.2</v>
      </c>
      <c r="L198" s="7" t="n">
        <v>38.2</v>
      </c>
    </row>
    <row r="199">
      <c r="A199" s="7" t="inlineStr">
        <is>
          <t>98388</t>
        </is>
      </c>
      <c r="B199" s="7" t="inlineStr">
        <is>
          <t>Steilacoom</t>
        </is>
      </c>
      <c r="C199" s="7" t="inlineStr">
        <is>
          <t>Pierce</t>
        </is>
      </c>
      <c r="D199" s="7" t="n">
        <v>86.53513326410523</v>
      </c>
      <c r="E199" s="7" t="n">
        <v>82.91993639740608</v>
      </c>
      <c r="F199" s="7">
        <f>D199-E199</f>
        <v/>
      </c>
      <c r="G199" s="7">
        <f>ABS(F199)</f>
        <v/>
      </c>
      <c r="H199" s="7">
        <f>F199^2</f>
        <v/>
      </c>
      <c r="I199" s="7" t="n">
        <v>100851</v>
      </c>
      <c r="J199" s="7" t="n">
        <v>25.71824160609208</v>
      </c>
      <c r="K199" s="7" t="n">
        <v>24</v>
      </c>
      <c r="L199" s="7" t="n">
        <v>26.8</v>
      </c>
    </row>
    <row r="200">
      <c r="A200" s="7" t="inlineStr">
        <is>
          <t>98390</t>
        </is>
      </c>
      <c r="B200" s="7" t="inlineStr">
        <is>
          <t>Sumner</t>
        </is>
      </c>
      <c r="C200" s="7" t="inlineStr">
        <is>
          <t>Pierce</t>
        </is>
      </c>
      <c r="D200" s="7" t="n">
        <v>56.93519079345851</v>
      </c>
      <c r="E200" s="7" t="n">
        <v>67.78471779918085</v>
      </c>
      <c r="F200" s="7">
        <f>D200-E200</f>
        <v/>
      </c>
      <c r="G200" s="7">
        <f>ABS(F200)</f>
        <v/>
      </c>
      <c r="H200" s="7">
        <f>F200^2</f>
        <v/>
      </c>
      <c r="I200" s="7" t="n">
        <v>97795</v>
      </c>
      <c r="J200" s="7" t="n">
        <v>27.63981425398748</v>
      </c>
      <c r="K200" s="7" t="n">
        <v>13.2</v>
      </c>
      <c r="L200" s="7" t="n">
        <v>29.6</v>
      </c>
    </row>
    <row r="201">
      <c r="A201" s="7" t="inlineStr">
        <is>
          <t>98391</t>
        </is>
      </c>
      <c r="B201" s="7" t="inlineStr">
        <is>
          <t>Bonney Lake</t>
        </is>
      </c>
      <c r="C201" s="7" t="inlineStr">
        <is>
          <t>Pierce</t>
        </is>
      </c>
      <c r="D201" s="7" t="n">
        <v>114.3153331448497</v>
      </c>
      <c r="E201" s="7" t="n">
        <v>103.6725825669529</v>
      </c>
      <c r="F201" s="7">
        <f>D201-E201</f>
        <v/>
      </c>
      <c r="G201" s="7">
        <f>ABS(F201)</f>
        <v/>
      </c>
      <c r="H201" s="7">
        <f>F201^2</f>
        <v/>
      </c>
      <c r="I201" s="7" t="n">
        <v>135037</v>
      </c>
      <c r="J201" s="7" t="n">
        <v>5.093770615399114</v>
      </c>
      <c r="K201" s="7" t="n">
        <v>16.6</v>
      </c>
      <c r="L201" s="7" t="n">
        <v>36.5</v>
      </c>
    </row>
    <row r="202">
      <c r="A202" s="7" t="inlineStr">
        <is>
          <t>98392</t>
        </is>
      </c>
      <c r="B202" s="7" t="inlineStr">
        <is>
          <t>Suquamish</t>
        </is>
      </c>
      <c r="C202" s="7" t="inlineStr">
        <is>
          <t>Kitsap</t>
        </is>
      </c>
      <c r="D202" s="7" t="n">
        <v>82.52063015753939</v>
      </c>
      <c r="E202" s="7" t="n">
        <v>49.95422886761519</v>
      </c>
      <c r="F202" s="7">
        <f>D202-E202</f>
        <v/>
      </c>
      <c r="G202" s="7">
        <f>ABS(F202)</f>
        <v/>
      </c>
      <c r="H202" s="7">
        <f>F202^2</f>
        <v/>
      </c>
      <c r="I202" s="7" t="n">
        <v>85530</v>
      </c>
      <c r="J202" s="7" t="n">
        <v>3.750937734433609</v>
      </c>
      <c r="K202" s="7" t="n">
        <v>17.4</v>
      </c>
      <c r="L202" s="7" t="n">
        <v>27.7</v>
      </c>
    </row>
    <row r="203">
      <c r="A203" s="7" t="inlineStr">
        <is>
          <t>98396</t>
        </is>
      </c>
      <c r="B203" s="7" t="inlineStr">
        <is>
          <t>Wilkeson</t>
        </is>
      </c>
      <c r="C203" s="7" t="inlineStr">
        <is>
          <t>Pierce</t>
        </is>
      </c>
      <c r="D203" s="7" t="n">
        <v>18.57585139318885</v>
      </c>
      <c r="E203" s="7" t="n">
        <v>85.46354665638094</v>
      </c>
      <c r="F203" s="7">
        <f>D203-E203</f>
        <v/>
      </c>
      <c r="G203" s="7">
        <f>ABS(F203)</f>
        <v/>
      </c>
      <c r="H203" s="7">
        <f>F203^2</f>
        <v/>
      </c>
      <c r="I203" s="7" t="n">
        <v>112031</v>
      </c>
      <c r="J203" s="7" t="n">
        <v>2.1671826625387</v>
      </c>
      <c r="K203" s="7" t="n">
        <v>16.5</v>
      </c>
      <c r="L203" s="7" t="n">
        <v>43</v>
      </c>
    </row>
    <row r="204">
      <c r="A204" s="7" t="inlineStr">
        <is>
          <t>98402</t>
        </is>
      </c>
      <c r="B204" s="7" t="inlineStr">
        <is>
          <t>Tacoma</t>
        </is>
      </c>
      <c r="C204" s="7" t="inlineStr">
        <is>
          <t>Pierce</t>
        </is>
      </c>
      <c r="D204" s="7" t="n">
        <v>49.33093668863591</v>
      </c>
      <c r="E204" s="7" t="n">
        <v>64.44486930429588</v>
      </c>
      <c r="F204" s="7">
        <f>D204-E204</f>
        <v/>
      </c>
      <c r="G204" s="7">
        <f>ABS(F204)</f>
        <v/>
      </c>
      <c r="H204" s="7">
        <f>F204^2</f>
        <v/>
      </c>
      <c r="I204" s="7" t="n">
        <v>60505</v>
      </c>
      <c r="J204" s="7" t="n">
        <v>96.88436189334931</v>
      </c>
      <c r="K204" s="7" t="n">
        <v>24.7</v>
      </c>
      <c r="L204" s="7" t="n">
        <v>22.3</v>
      </c>
    </row>
    <row r="205">
      <c r="A205" s="7" t="inlineStr">
        <is>
          <t>98403</t>
        </is>
      </c>
      <c r="B205" s="7" t="inlineStr">
        <is>
          <t>Tacoma</t>
        </is>
      </c>
      <c r="C205" s="7" t="inlineStr">
        <is>
          <t>Pierce</t>
        </is>
      </c>
      <c r="D205" s="7" t="n">
        <v>56.24252094136418</v>
      </c>
      <c r="E205" s="7" t="n">
        <v>84.8724436287321</v>
      </c>
      <c r="F205" s="7">
        <f>D205-E205</f>
        <v/>
      </c>
      <c r="G205" s="7">
        <f>ABS(F205)</f>
        <v/>
      </c>
      <c r="H205" s="7">
        <f>F205^2</f>
        <v/>
      </c>
      <c r="I205" s="7" t="n">
        <v>88056</v>
      </c>
      <c r="J205" s="7" t="n">
        <v>65.8157159952134</v>
      </c>
      <c r="K205" s="7" t="n">
        <v>26.4</v>
      </c>
      <c r="L205" s="7" t="n">
        <v>25.6</v>
      </c>
    </row>
    <row r="206">
      <c r="A206" s="7" t="inlineStr">
        <is>
          <t>98404</t>
        </is>
      </c>
      <c r="B206" s="7" t="inlineStr">
        <is>
          <t>Tacoma</t>
        </is>
      </c>
      <c r="C206" s="7" t="inlineStr">
        <is>
          <t>Pierce</t>
        </is>
      </c>
      <c r="D206" s="7" t="n">
        <v>41.41281715123004</v>
      </c>
      <c r="E206" s="7" t="n">
        <v>46.80996993251017</v>
      </c>
      <c r="F206" s="7">
        <f>D206-E206</f>
        <v/>
      </c>
      <c r="G206" s="7">
        <f>ABS(F206)</f>
        <v/>
      </c>
      <c r="H206" s="7">
        <f>F206^2</f>
        <v/>
      </c>
      <c r="I206" s="7" t="n">
        <v>82191</v>
      </c>
      <c r="J206" s="7" t="n">
        <v>15.68597208297987</v>
      </c>
      <c r="K206" s="7" t="n">
        <v>10.8</v>
      </c>
      <c r="L206" s="7" t="n">
        <v>34.1</v>
      </c>
    </row>
    <row r="207">
      <c r="A207" s="7" t="inlineStr">
        <is>
          <t>98405</t>
        </is>
      </c>
      <c r="B207" s="7" t="inlineStr">
        <is>
          <t>Tacoma</t>
        </is>
      </c>
      <c r="C207" s="7" t="inlineStr">
        <is>
          <t>Pierce</t>
        </is>
      </c>
      <c r="D207" s="7" t="n">
        <v>40.28297960882231</v>
      </c>
      <c r="E207" s="7" t="n">
        <v>51.11036502230488</v>
      </c>
      <c r="F207" s="7">
        <f>D207-E207</f>
        <v/>
      </c>
      <c r="G207" s="7">
        <f>ABS(F207)</f>
        <v/>
      </c>
      <c r="H207" s="7">
        <f>F207^2</f>
        <v/>
      </c>
      <c r="I207" s="7" t="n">
        <v>75946</v>
      </c>
      <c r="J207" s="7" t="n">
        <v>34.55680399500624</v>
      </c>
      <c r="K207" s="7" t="n">
        <v>16.6</v>
      </c>
      <c r="L207" s="7" t="n">
        <v>27</v>
      </c>
    </row>
    <row r="208">
      <c r="A208" s="7" t="inlineStr">
        <is>
          <t>98406</t>
        </is>
      </c>
      <c r="B208" s="7" t="inlineStr">
        <is>
          <t>Tacoma</t>
        </is>
      </c>
      <c r="C208" s="7" t="inlineStr">
        <is>
          <t>Pierce</t>
        </is>
      </c>
      <c r="D208" s="7" t="n">
        <v>61.60183066361556</v>
      </c>
      <c r="E208" s="7" t="n">
        <v>86.23962772459717</v>
      </c>
      <c r="F208" s="7">
        <f>D208-E208</f>
        <v/>
      </c>
      <c r="G208" s="7">
        <f>ABS(F208)</f>
        <v/>
      </c>
      <c r="H208" s="7">
        <f>F208^2</f>
        <v/>
      </c>
      <c r="I208" s="7" t="n">
        <v>104264</v>
      </c>
      <c r="J208" s="7" t="n">
        <v>31.35926773455378</v>
      </c>
      <c r="K208" s="7" t="n">
        <v>21.8</v>
      </c>
      <c r="L208" s="7" t="n">
        <v>25.4</v>
      </c>
    </row>
    <row r="209">
      <c r="A209" s="7" t="inlineStr">
        <is>
          <t>98407</t>
        </is>
      </c>
      <c r="B209" s="7" t="inlineStr">
        <is>
          <t>Tacoma</t>
        </is>
      </c>
      <c r="C209" s="7" t="inlineStr">
        <is>
          <t>Pierce</t>
        </is>
      </c>
      <c r="D209" s="7" t="n">
        <v>84.96184626837893</v>
      </c>
      <c r="E209" s="7" t="n">
        <v>88.51248158047156</v>
      </c>
      <c r="F209" s="7">
        <f>D209-E209</f>
        <v/>
      </c>
      <c r="G209" s="7">
        <f>ABS(F209)</f>
        <v/>
      </c>
      <c r="H209" s="7">
        <f>F209^2</f>
        <v/>
      </c>
      <c r="I209" s="7" t="n">
        <v>110288</v>
      </c>
      <c r="J209" s="7" t="n">
        <v>32.00260562069607</v>
      </c>
      <c r="K209" s="7" t="n">
        <v>17.4</v>
      </c>
      <c r="L209" s="7" t="n">
        <v>27.3</v>
      </c>
    </row>
    <row r="210">
      <c r="A210" s="7" t="inlineStr">
        <is>
          <t>98408</t>
        </is>
      </c>
      <c r="B210" s="7" t="inlineStr">
        <is>
          <t>Tacoma</t>
        </is>
      </c>
      <c r="C210" s="7" t="inlineStr">
        <is>
          <t>Pierce</t>
        </is>
      </c>
      <c r="D210" s="7" t="n">
        <v>36.64735784371675</v>
      </c>
      <c r="E210" s="7" t="n">
        <v>47.13479620305489</v>
      </c>
      <c r="F210" s="7">
        <f>D210-E210</f>
        <v/>
      </c>
      <c r="G210" s="7">
        <f>ABS(F210)</f>
        <v/>
      </c>
      <c r="H210" s="7">
        <f>F210^2</f>
        <v/>
      </c>
      <c r="I210" s="7" t="n">
        <v>80899</v>
      </c>
      <c r="J210" s="7" t="n">
        <v>16.5149544863459</v>
      </c>
      <c r="K210" s="7" t="n">
        <v>13.8</v>
      </c>
      <c r="L210" s="7" t="n">
        <v>27.5</v>
      </c>
    </row>
    <row r="211">
      <c r="A211" s="7" t="inlineStr">
        <is>
          <t>98409</t>
        </is>
      </c>
      <c r="B211" s="7" t="inlineStr">
        <is>
          <t>Tacoma</t>
        </is>
      </c>
      <c r="C211" s="7" t="inlineStr">
        <is>
          <t>Pierce</t>
        </is>
      </c>
      <c r="D211" s="7" t="n">
        <v>39.40731399747794</v>
      </c>
      <c r="E211" s="7" t="n">
        <v>49.07010243497633</v>
      </c>
      <c r="F211" s="7">
        <f>D211-E211</f>
        <v/>
      </c>
      <c r="G211" s="7">
        <f>ABS(F211)</f>
        <v/>
      </c>
      <c r="H211" s="7">
        <f>F211^2</f>
        <v/>
      </c>
      <c r="I211" s="7" t="n">
        <v>73348</v>
      </c>
      <c r="J211" s="7" t="n">
        <v>47.91141235813367</v>
      </c>
      <c r="K211" s="7" t="n">
        <v>11.9</v>
      </c>
      <c r="L211" s="7" t="n">
        <v>28.2</v>
      </c>
    </row>
    <row r="212">
      <c r="A212" s="7" t="inlineStr">
        <is>
          <t>98418</t>
        </is>
      </c>
      <c r="B212" s="7" t="inlineStr">
        <is>
          <t>Tacoma</t>
        </is>
      </c>
      <c r="C212" s="7" t="inlineStr">
        <is>
          <t>Pierce</t>
        </is>
      </c>
      <c r="D212" s="7" t="n">
        <v>36.63887670030715</v>
      </c>
      <c r="E212" s="7" t="n">
        <v>58.35369896137637</v>
      </c>
      <c r="F212" s="7">
        <f>D212-E212</f>
        <v/>
      </c>
      <c r="G212" s="7">
        <f>ABS(F212)</f>
        <v/>
      </c>
      <c r="H212" s="7">
        <f>F212^2</f>
        <v/>
      </c>
      <c r="I212" s="7" t="n">
        <v>89706</v>
      </c>
      <c r="J212" s="7" t="n">
        <v>22.50987275120667</v>
      </c>
      <c r="K212" s="7" t="n">
        <v>14.2</v>
      </c>
      <c r="L212" s="7" t="n">
        <v>26.7</v>
      </c>
    </row>
    <row r="213">
      <c r="A213" s="7" t="inlineStr">
        <is>
          <t>98422</t>
        </is>
      </c>
      <c r="B213" s="7" t="inlineStr">
        <is>
          <t>Tacoma</t>
        </is>
      </c>
      <c r="C213" s="7" t="inlineStr">
        <is>
          <t>Pierce</t>
        </is>
      </c>
      <c r="D213" s="7" t="n">
        <v>110.1888608204018</v>
      </c>
      <c r="E213" s="7" t="n">
        <v>89.41282875172899</v>
      </c>
      <c r="F213" s="7">
        <f>D213-E213</f>
        <v/>
      </c>
      <c r="G213" s="7">
        <f>ABS(F213)</f>
        <v/>
      </c>
      <c r="H213" s="7">
        <f>F213^2</f>
        <v/>
      </c>
      <c r="I213" s="7" t="n">
        <v>118604</v>
      </c>
      <c r="J213" s="7" t="n">
        <v>13.66534343798869</v>
      </c>
      <c r="K213" s="7" t="n">
        <v>18.2</v>
      </c>
      <c r="L213" s="7" t="n">
        <v>33.5</v>
      </c>
    </row>
    <row r="214">
      <c r="A214" s="7" t="inlineStr">
        <is>
          <t>98424</t>
        </is>
      </c>
      <c r="B214" s="7" t="inlineStr">
        <is>
          <t>Fife</t>
        </is>
      </c>
      <c r="C214" s="7" t="inlineStr">
        <is>
          <t>Pierce</t>
        </is>
      </c>
      <c r="D214" s="7" t="n">
        <v>70.49608355091384</v>
      </c>
      <c r="E214" s="7" t="n">
        <v>72.98479008382233</v>
      </c>
      <c r="F214" s="7">
        <f>D214-E214</f>
        <v/>
      </c>
      <c r="G214" s="7">
        <f>ABS(F214)</f>
        <v/>
      </c>
      <c r="H214" s="7">
        <f>F214^2</f>
        <v/>
      </c>
      <c r="I214" s="7" t="n">
        <v>94122</v>
      </c>
      <c r="J214" s="7" t="n">
        <v>46.51871192341166</v>
      </c>
      <c r="K214" s="7" t="n">
        <v>11.8</v>
      </c>
      <c r="L214" s="7" t="n">
        <v>26.8</v>
      </c>
    </row>
    <row r="215">
      <c r="A215" s="7" t="inlineStr">
        <is>
          <t>98433</t>
        </is>
      </c>
      <c r="B215" s="7" t="inlineStr">
        <is>
          <t>Joint Base Lewis Mcchord</t>
        </is>
      </c>
      <c r="C215" s="7" t="inlineStr">
        <is>
          <t>Pierce</t>
        </is>
      </c>
      <c r="D215" s="7" t="n">
        <v>36.41912512716175</v>
      </c>
      <c r="E215" s="7" t="n">
        <v>17.62857925524163</v>
      </c>
      <c r="F215" s="7">
        <f>D215-E215</f>
        <v/>
      </c>
      <c r="G215" s="7">
        <f>ABS(F215)</f>
        <v/>
      </c>
      <c r="H215" s="7">
        <f>F215^2</f>
        <v/>
      </c>
      <c r="I215" s="7" t="n">
        <v>60158</v>
      </c>
      <c r="J215" s="7" t="n">
        <v>32.57375381485249</v>
      </c>
      <c r="K215" s="7" t="n">
        <v>3.6</v>
      </c>
      <c r="L215" s="7" t="n">
        <v>10.9</v>
      </c>
    </row>
    <row r="216">
      <c r="A216" s="7" t="inlineStr">
        <is>
          <t>98439</t>
        </is>
      </c>
      <c r="B216" s="7" t="inlineStr">
        <is>
          <t>Lakewood</t>
        </is>
      </c>
      <c r="C216" s="7" t="inlineStr">
        <is>
          <t>Pierce</t>
        </is>
      </c>
      <c r="D216" s="7" t="n">
        <v>69.95033112582782</v>
      </c>
      <c r="E216" s="7" t="n">
        <v>9.733921454912398</v>
      </c>
      <c r="F216" s="7">
        <f>D216-E216</f>
        <v/>
      </c>
      <c r="G216" s="7">
        <f>ABS(F216)</f>
        <v/>
      </c>
      <c r="H216" s="7">
        <f>F216^2</f>
        <v/>
      </c>
      <c r="I216" s="7" t="n">
        <v>50509</v>
      </c>
      <c r="J216" s="7" t="n">
        <v>51.40728476821192</v>
      </c>
      <c r="K216" s="7" t="n">
        <v>2</v>
      </c>
      <c r="L216" s="7" t="n">
        <v>21.8</v>
      </c>
    </row>
    <row r="217">
      <c r="A217" s="7" t="inlineStr">
        <is>
          <t>98443</t>
        </is>
      </c>
      <c r="B217" s="7" t="inlineStr">
        <is>
          <t>Tacoma</t>
        </is>
      </c>
      <c r="C217" s="7" t="inlineStr">
        <is>
          <t>Pierce</t>
        </is>
      </c>
      <c r="D217" s="7" t="n">
        <v>48.30287206266318</v>
      </c>
      <c r="E217" s="7" t="n">
        <v>70.98861690136599</v>
      </c>
      <c r="F217" s="7">
        <f>D217-E217</f>
        <v/>
      </c>
      <c r="G217" s="7">
        <f>ABS(F217)</f>
        <v/>
      </c>
      <c r="H217" s="7">
        <f>F217^2</f>
        <v/>
      </c>
      <c r="I217" s="7" t="n">
        <v>105035</v>
      </c>
      <c r="J217" s="7" t="n">
        <v>3.785900783289817</v>
      </c>
      <c r="K217" s="7" t="n">
        <v>17.3</v>
      </c>
      <c r="L217" s="7" t="n">
        <v>31.9</v>
      </c>
    </row>
    <row r="218">
      <c r="A218" s="7" t="inlineStr">
        <is>
          <t>98444</t>
        </is>
      </c>
      <c r="B218" s="7" t="inlineStr">
        <is>
          <t>Tacoma</t>
        </is>
      </c>
      <c r="C218" s="7" t="inlineStr">
        <is>
          <t>Pierce</t>
        </is>
      </c>
      <c r="D218" s="7" t="n">
        <v>28.13806789992204</v>
      </c>
      <c r="E218" s="7" t="n">
        <v>38.47818409827217</v>
      </c>
      <c r="F218" s="7">
        <f>D218-E218</f>
        <v/>
      </c>
      <c r="G218" s="7">
        <f>ABS(F218)</f>
        <v/>
      </c>
      <c r="H218" s="7">
        <f>F218^2</f>
        <v/>
      </c>
      <c r="I218" s="7" t="n">
        <v>65342</v>
      </c>
      <c r="J218" s="7" t="n">
        <v>43.62463675668013</v>
      </c>
      <c r="K218" s="7" t="n">
        <v>6.5</v>
      </c>
      <c r="L218" s="7" t="n">
        <v>31.8</v>
      </c>
    </row>
    <row r="219">
      <c r="A219" s="7" t="inlineStr">
        <is>
          <t>98445</t>
        </is>
      </c>
      <c r="B219" s="7" t="inlineStr">
        <is>
          <t>Tacoma</t>
        </is>
      </c>
      <c r="C219" s="7" t="inlineStr">
        <is>
          <t>Pierce</t>
        </is>
      </c>
      <c r="D219" s="7" t="n">
        <v>43.11033051253393</v>
      </c>
      <c r="E219" s="7" t="n">
        <v>55.6172819137783</v>
      </c>
      <c r="F219" s="7">
        <f>D219-E219</f>
        <v/>
      </c>
      <c r="G219" s="7">
        <f>ABS(F219)</f>
        <v/>
      </c>
      <c r="H219" s="7">
        <f>F219^2</f>
        <v/>
      </c>
      <c r="I219" s="7" t="n">
        <v>92520</v>
      </c>
      <c r="J219" s="7" t="n">
        <v>17.70716908829634</v>
      </c>
      <c r="K219" s="7" t="n">
        <v>8.300000000000001</v>
      </c>
      <c r="L219" s="7" t="n">
        <v>32.7</v>
      </c>
    </row>
    <row r="220">
      <c r="A220" s="7" t="inlineStr">
        <is>
          <t>98446</t>
        </is>
      </c>
      <c r="B220" s="7" t="inlineStr">
        <is>
          <t>Parkland</t>
        </is>
      </c>
      <c r="C220" s="7" t="inlineStr">
        <is>
          <t>Pierce</t>
        </is>
      </c>
      <c r="D220" s="7" t="n">
        <v>45.34862878652088</v>
      </c>
      <c r="E220" s="7" t="n">
        <v>66.67764713338296</v>
      </c>
      <c r="F220" s="7">
        <f>D220-E220</f>
        <v/>
      </c>
      <c r="G220" s="7">
        <f>ABS(F220)</f>
        <v/>
      </c>
      <c r="H220" s="7">
        <f>F220^2</f>
        <v/>
      </c>
      <c r="I220" s="7" t="n">
        <v>101938</v>
      </c>
      <c r="J220" s="7" t="n">
        <v>18.40831690267073</v>
      </c>
      <c r="K220" s="7" t="n">
        <v>10.3</v>
      </c>
      <c r="L220" s="7" t="n">
        <v>32.5</v>
      </c>
    </row>
    <row r="221">
      <c r="A221" s="7" t="inlineStr">
        <is>
          <t>98465</t>
        </is>
      </c>
      <c r="B221" s="7" t="inlineStr">
        <is>
          <t>Tacoma</t>
        </is>
      </c>
      <c r="C221" s="7" t="inlineStr">
        <is>
          <t>Pierce</t>
        </is>
      </c>
      <c r="D221" s="7" t="n">
        <v>60</v>
      </c>
      <c r="E221" s="7" t="n">
        <v>55.23152037372483</v>
      </c>
      <c r="F221" s="7">
        <f>D221-E221</f>
        <v/>
      </c>
      <c r="G221" s="7">
        <f>ABS(F221)</f>
        <v/>
      </c>
      <c r="H221" s="7">
        <f>F221^2</f>
        <v/>
      </c>
      <c r="I221" s="7" t="n">
        <v>73226</v>
      </c>
      <c r="J221" s="7" t="n">
        <v>40.16438356164384</v>
      </c>
      <c r="K221" s="7" t="n">
        <v>20.3</v>
      </c>
      <c r="L221" s="7" t="n">
        <v>27.4</v>
      </c>
    </row>
    <row r="222">
      <c r="A222" s="7" t="inlineStr">
        <is>
          <t>98466</t>
        </is>
      </c>
      <c r="B222" s="7" t="inlineStr">
        <is>
          <t>University Place</t>
        </is>
      </c>
      <c r="C222" s="7" t="inlineStr">
        <is>
          <t>Pierce</t>
        </is>
      </c>
      <c r="D222" s="7" t="n">
        <v>70.98888800063955</v>
      </c>
      <c r="E222" s="7" t="n">
        <v>79.35927310082411</v>
      </c>
      <c r="F222" s="7">
        <f>D222-E222</f>
        <v/>
      </c>
      <c r="G222" s="7">
        <f>ABS(F222)</f>
        <v/>
      </c>
      <c r="H222" s="7">
        <f>F222^2</f>
        <v/>
      </c>
      <c r="I222" s="7" t="n">
        <v>101778</v>
      </c>
      <c r="J222" s="7" t="n">
        <v>41.09041490127108</v>
      </c>
      <c r="K222" s="7" t="n">
        <v>17.4</v>
      </c>
      <c r="L222" s="7" t="n">
        <v>26.4</v>
      </c>
    </row>
    <row r="223">
      <c r="A223" s="7" t="inlineStr">
        <is>
          <t>98467</t>
        </is>
      </c>
      <c r="B223" s="7" t="inlineStr">
        <is>
          <t>University Place</t>
        </is>
      </c>
      <c r="C223" s="7" t="inlineStr">
        <is>
          <t>Pierce</t>
        </is>
      </c>
      <c r="D223" s="7" t="n">
        <v>81.31934944520444</v>
      </c>
      <c r="E223" s="7" t="n">
        <v>69.68531835575125</v>
      </c>
      <c r="F223" s="7">
        <f>D223-E223</f>
        <v/>
      </c>
      <c r="G223" s="7">
        <f>ABS(F223)</f>
        <v/>
      </c>
      <c r="H223" s="7">
        <f>F223^2</f>
        <v/>
      </c>
      <c r="I223" s="7" t="n">
        <v>91354</v>
      </c>
      <c r="J223" s="7" t="n">
        <v>37.7108983128135</v>
      </c>
      <c r="K223" s="7" t="n">
        <v>14.3</v>
      </c>
      <c r="L223" s="7" t="n">
        <v>29.9</v>
      </c>
    </row>
    <row r="224">
      <c r="A224" s="7" t="inlineStr">
        <is>
          <t>98498</t>
        </is>
      </c>
      <c r="B224" s="7" t="inlineStr">
        <is>
          <t>Lakewood</t>
        </is>
      </c>
      <c r="C224" s="7" t="inlineStr">
        <is>
          <t>Pierce</t>
        </is>
      </c>
      <c r="D224" s="7" t="n">
        <v>50.93667750425763</v>
      </c>
      <c r="E224" s="7" t="n">
        <v>61.72589789178939</v>
      </c>
      <c r="F224" s="7">
        <f>D224-E224</f>
        <v/>
      </c>
      <c r="G224" s="7">
        <f>ABS(F224)</f>
        <v/>
      </c>
      <c r="H224" s="7">
        <f>F224^2</f>
        <v/>
      </c>
      <c r="I224" s="7" t="n">
        <v>91664</v>
      </c>
      <c r="J224" s="7" t="n">
        <v>33.27140424214275</v>
      </c>
      <c r="K224" s="7" t="n">
        <v>11.2</v>
      </c>
      <c r="L224" s="7" t="n">
        <v>29.6</v>
      </c>
    </row>
    <row r="225">
      <c r="A225" s="7" t="inlineStr">
        <is>
          <t>98499</t>
        </is>
      </c>
      <c r="B225" s="7" t="inlineStr">
        <is>
          <t>Lakewood</t>
        </is>
      </c>
      <c r="C225" s="7" t="inlineStr">
        <is>
          <t>Pierce</t>
        </is>
      </c>
      <c r="D225" s="7" t="n">
        <v>32.03230148048452</v>
      </c>
      <c r="E225" s="7" t="n">
        <v>37.27159967733355</v>
      </c>
      <c r="F225" s="7">
        <f>D225-E225</f>
        <v/>
      </c>
      <c r="G225" s="7">
        <f>ABS(F225)</f>
        <v/>
      </c>
      <c r="H225" s="7">
        <f>F225^2</f>
        <v/>
      </c>
      <c r="I225" s="7" t="n">
        <v>67292</v>
      </c>
      <c r="J225" s="7" t="n">
        <v>51.80349932705249</v>
      </c>
      <c r="K225" s="7" t="n">
        <v>6.8</v>
      </c>
      <c r="L225" s="7" t="n">
        <v>29.4</v>
      </c>
    </row>
    <row r="226">
      <c r="A226" s="7" t="inlineStr">
        <is>
          <t>98501</t>
        </is>
      </c>
      <c r="B226" s="7" t="inlineStr">
        <is>
          <t>Olympia</t>
        </is>
      </c>
      <c r="C226" s="7" t="inlineStr">
        <is>
          <t>Thurston</t>
        </is>
      </c>
      <c r="D226" s="7" t="n">
        <v>140.029927112999</v>
      </c>
      <c r="E226" s="7" t="n">
        <v>82.34772904853376</v>
      </c>
      <c r="F226" s="7">
        <f>D226-E226</f>
        <v/>
      </c>
      <c r="G226" s="7">
        <f>ABS(F226)</f>
        <v/>
      </c>
      <c r="H226" s="7">
        <f>F226^2</f>
        <v/>
      </c>
      <c r="I226" s="7" t="n">
        <v>97198</v>
      </c>
      <c r="J226" s="7" t="n">
        <v>27.13713375488729</v>
      </c>
      <c r="K226" s="7" t="n">
        <v>28</v>
      </c>
      <c r="L226" s="7" t="n">
        <v>21.2</v>
      </c>
    </row>
    <row r="227">
      <c r="A227" s="7" t="inlineStr">
        <is>
          <t>98502</t>
        </is>
      </c>
      <c r="B227" s="7" t="inlineStr">
        <is>
          <t>Olympia</t>
        </is>
      </c>
      <c r="C227" s="7" t="inlineStr">
        <is>
          <t>Thurston</t>
        </is>
      </c>
      <c r="D227" s="7" t="n">
        <v>89.70184511268594</v>
      </c>
      <c r="E227" s="7" t="n">
        <v>69.54278519801754</v>
      </c>
      <c r="F227" s="7">
        <f>D227-E227</f>
        <v/>
      </c>
      <c r="G227" s="7">
        <f>ABS(F227)</f>
        <v/>
      </c>
      <c r="H227" s="7">
        <f>F227^2</f>
        <v/>
      </c>
      <c r="I227" s="7" t="n">
        <v>92207</v>
      </c>
      <c r="J227" s="7" t="n">
        <v>31.30945540445636</v>
      </c>
      <c r="K227" s="7" t="n">
        <v>21.9</v>
      </c>
      <c r="L227" s="7" t="n">
        <v>23.1</v>
      </c>
    </row>
    <row r="228">
      <c r="A228" s="7" t="inlineStr">
        <is>
          <t>98503</t>
        </is>
      </c>
      <c r="B228" s="7" t="inlineStr">
        <is>
          <t>Lacey</t>
        </is>
      </c>
      <c r="C228" s="7" t="inlineStr">
        <is>
          <t>Thurston</t>
        </is>
      </c>
      <c r="D228" s="7" t="n">
        <v>55.74590743460053</v>
      </c>
      <c r="E228" s="7" t="n">
        <v>63.80110119413391</v>
      </c>
      <c r="F228" s="7">
        <f>D228-E228</f>
        <v/>
      </c>
      <c r="G228" s="7">
        <f>ABS(F228)</f>
        <v/>
      </c>
      <c r="H228" s="7">
        <f>F228^2</f>
        <v/>
      </c>
      <c r="I228" s="7" t="n">
        <v>89002</v>
      </c>
      <c r="J228" s="7" t="n">
        <v>27.63909283733073</v>
      </c>
      <c r="K228" s="7" t="n">
        <v>17.2</v>
      </c>
      <c r="L228" s="7" t="n">
        <v>24.7</v>
      </c>
    </row>
    <row r="229">
      <c r="A229" s="7" t="inlineStr">
        <is>
          <t>98506</t>
        </is>
      </c>
      <c r="B229" s="7" t="inlineStr">
        <is>
          <t>Olympia</t>
        </is>
      </c>
      <c r="C229" s="7" t="inlineStr">
        <is>
          <t>Thurston</t>
        </is>
      </c>
      <c r="D229" s="7" t="n">
        <v>89.45581955545822</v>
      </c>
      <c r="E229" s="7" t="n">
        <v>71.4244488215286</v>
      </c>
      <c r="F229" s="7">
        <f>D229-E229</f>
        <v/>
      </c>
      <c r="G229" s="7">
        <f>ABS(F229)</f>
        <v/>
      </c>
      <c r="H229" s="7">
        <f>F229^2</f>
        <v/>
      </c>
      <c r="I229" s="7" t="n">
        <v>91596</v>
      </c>
      <c r="J229" s="7" t="n">
        <v>26.85864447607577</v>
      </c>
      <c r="K229" s="7" t="n">
        <v>25.6</v>
      </c>
      <c r="L229" s="7" t="n">
        <v>24.1</v>
      </c>
    </row>
    <row r="230">
      <c r="A230" s="7" t="inlineStr">
        <is>
          <t>98512</t>
        </is>
      </c>
      <c r="B230" s="7" t="inlineStr">
        <is>
          <t>Olympia</t>
        </is>
      </c>
      <c r="C230" s="7" t="inlineStr">
        <is>
          <t>Thurston</t>
        </is>
      </c>
      <c r="D230" s="7" t="n">
        <v>73.98712608860281</v>
      </c>
      <c r="E230" s="7" t="n">
        <v>81.27324530732307</v>
      </c>
      <c r="F230" s="7">
        <f>D230-E230</f>
        <v/>
      </c>
      <c r="G230" s="7">
        <f>ABS(F230)</f>
        <v/>
      </c>
      <c r="H230" s="7">
        <f>F230^2</f>
        <v/>
      </c>
      <c r="I230" s="7" t="n">
        <v>101530</v>
      </c>
      <c r="J230" s="7" t="n">
        <v>15.52442256720939</v>
      </c>
      <c r="K230" s="7" t="n">
        <v>26</v>
      </c>
      <c r="L230" s="7" t="n">
        <v>22.7</v>
      </c>
    </row>
    <row r="231">
      <c r="A231" s="7" t="inlineStr">
        <is>
          <t>98513</t>
        </is>
      </c>
      <c r="B231" s="7" t="inlineStr">
        <is>
          <t>Olympia</t>
        </is>
      </c>
      <c r="C231" s="7" t="inlineStr">
        <is>
          <t>Thurston</t>
        </is>
      </c>
      <c r="D231" s="7" t="n">
        <v>74.03826231093308</v>
      </c>
      <c r="E231" s="7" t="n">
        <v>82.1056689985982</v>
      </c>
      <c r="F231" s="7">
        <f>D231-E231</f>
        <v/>
      </c>
      <c r="G231" s="7">
        <f>ABS(F231)</f>
        <v/>
      </c>
      <c r="H231" s="7">
        <f>F231^2</f>
        <v/>
      </c>
      <c r="I231" s="7" t="n">
        <v>113053</v>
      </c>
      <c r="J231" s="7" t="n">
        <v>8.84038952966365</v>
      </c>
      <c r="K231" s="7" t="n">
        <v>19.2</v>
      </c>
      <c r="L231" s="7" t="n">
        <v>26.5</v>
      </c>
    </row>
    <row r="232">
      <c r="A232" s="7" t="inlineStr">
        <is>
          <t>98516</t>
        </is>
      </c>
      <c r="B232" s="7" t="inlineStr">
        <is>
          <t>Lacey</t>
        </is>
      </c>
      <c r="C232" s="7" t="inlineStr">
        <is>
          <t>Thurston</t>
        </is>
      </c>
      <c r="D232" s="7" t="n">
        <v>107.1251855517071</v>
      </c>
      <c r="E232" s="7" t="n">
        <v>69.57285499899366</v>
      </c>
      <c r="F232" s="7">
        <f>D232-E232</f>
        <v/>
      </c>
      <c r="G232" s="7">
        <f>ABS(F232)</f>
        <v/>
      </c>
      <c r="H232" s="7">
        <f>F232^2</f>
        <v/>
      </c>
      <c r="I232" s="7" t="n">
        <v>98892</v>
      </c>
      <c r="J232" s="7" t="n">
        <v>22.34867227445159</v>
      </c>
      <c r="K232" s="7" t="n">
        <v>15.3</v>
      </c>
      <c r="L232" s="7" t="n">
        <v>25.9</v>
      </c>
    </row>
    <row r="233">
      <c r="A233" s="7" t="inlineStr">
        <is>
          <t>98520</t>
        </is>
      </c>
      <c r="B233" s="7" t="inlineStr">
        <is>
          <t>Aberdeen</t>
        </is>
      </c>
      <c r="C233" s="7" t="inlineStr">
        <is>
          <t>Grays Harbor</t>
        </is>
      </c>
      <c r="D233" s="7" t="n">
        <v>31.11111111111111</v>
      </c>
      <c r="E233" s="7" t="n">
        <v>15.08772491234824</v>
      </c>
      <c r="F233" s="7">
        <f>D233-E233</f>
        <v/>
      </c>
      <c r="G233" s="7">
        <f>ABS(F233)</f>
        <v/>
      </c>
      <c r="H233" s="7">
        <f>F233^2</f>
        <v/>
      </c>
      <c r="I233" s="7" t="n">
        <v>58153</v>
      </c>
      <c r="J233" s="7" t="n">
        <v>20.94179894179894</v>
      </c>
      <c r="K233" s="7" t="n">
        <v>5.7</v>
      </c>
      <c r="L233" s="7" t="n">
        <v>21.8</v>
      </c>
    </row>
    <row r="234">
      <c r="A234" s="7" t="inlineStr">
        <is>
          <t>98524</t>
        </is>
      </c>
      <c r="B234" s="7" t="inlineStr">
        <is>
          <t>Allyn</t>
        </is>
      </c>
      <c r="C234" s="7" t="inlineStr">
        <is>
          <t>Mason</t>
        </is>
      </c>
      <c r="D234" s="7" t="n">
        <v>70.55503292568203</v>
      </c>
      <c r="E234" s="7" t="n">
        <v>64.3786780778731</v>
      </c>
      <c r="F234" s="7">
        <f>D234-E234</f>
        <v/>
      </c>
      <c r="G234" s="7">
        <f>ABS(F234)</f>
        <v/>
      </c>
      <c r="H234" s="7">
        <f>F234^2</f>
        <v/>
      </c>
      <c r="I234" s="7" t="n">
        <v>99483</v>
      </c>
      <c r="J234" s="7" t="n">
        <v>4.468485418626528</v>
      </c>
      <c r="K234" s="7" t="n">
        <v>11.2</v>
      </c>
      <c r="L234" s="7" t="n">
        <v>47.4</v>
      </c>
    </row>
    <row r="235">
      <c r="A235" s="7" t="inlineStr">
        <is>
          <t>98526</t>
        </is>
      </c>
      <c r="B235" s="7" t="inlineStr">
        <is>
          <t>Amanda Park</t>
        </is>
      </c>
      <c r="C235" s="7" t="inlineStr">
        <is>
          <t>Grays Harbor</t>
        </is>
      </c>
      <c r="D235" s="7" t="n">
        <v>44.30379746835443</v>
      </c>
      <c r="E235" s="7" t="n">
        <v>36.77213617871661</v>
      </c>
      <c r="F235" s="7">
        <f>D235-E235</f>
        <v/>
      </c>
      <c r="G235" s="7">
        <f>ABS(F235)</f>
        <v/>
      </c>
      <c r="H235" s="7">
        <f>F235^2</f>
        <v/>
      </c>
      <c r="I235" s="7" t="n">
        <v>58162</v>
      </c>
      <c r="J235" s="7" t="n">
        <v>1.265822784810127</v>
      </c>
      <c r="K235" s="7" t="n">
        <v>26.8</v>
      </c>
      <c r="L235" s="7" t="n">
        <v>31.3</v>
      </c>
    </row>
    <row r="236">
      <c r="A236" s="7" t="inlineStr">
        <is>
          <t>98528</t>
        </is>
      </c>
      <c r="B236" s="7" t="inlineStr">
        <is>
          <t>Belfair</t>
        </is>
      </c>
      <c r="C236" s="7" t="inlineStr">
        <is>
          <t>Mason</t>
        </is>
      </c>
      <c r="D236" s="7" t="n">
        <v>51.12474437627812</v>
      </c>
      <c r="E236" s="7" t="n">
        <v>49.81019502884948</v>
      </c>
      <c r="F236" s="7">
        <f>D236-E236</f>
        <v/>
      </c>
      <c r="G236" s="7">
        <f>ABS(F236)</f>
        <v/>
      </c>
      <c r="H236" s="7">
        <f>F236^2</f>
        <v/>
      </c>
      <c r="I236" s="7" t="n">
        <v>91058</v>
      </c>
      <c r="J236" s="7" t="n">
        <v>6.004833612195575</v>
      </c>
      <c r="K236" s="7" t="n">
        <v>8</v>
      </c>
      <c r="L236" s="7" t="n">
        <v>36</v>
      </c>
    </row>
    <row r="237">
      <c r="A237" s="7" t="inlineStr">
        <is>
          <t>98530</t>
        </is>
      </c>
      <c r="B237" s="7" t="inlineStr">
        <is>
          <t>Bucoda</t>
        </is>
      </c>
      <c r="C237" s="7" t="inlineStr">
        <is>
          <t>Thurston</t>
        </is>
      </c>
      <c r="D237" s="7" t="n">
        <v>12.98701298701299</v>
      </c>
      <c r="E237" s="7" t="n">
        <v>41.73716124068474</v>
      </c>
      <c r="F237" s="7">
        <f>D237-E237</f>
        <v/>
      </c>
      <c r="G237" s="7">
        <f>ABS(F237)</f>
        <v/>
      </c>
      <c r="H237" s="7">
        <f>F237^2</f>
        <v/>
      </c>
      <c r="I237" s="7" t="n">
        <v>80682</v>
      </c>
      <c r="J237" s="7" t="n">
        <v>2.164502164502164</v>
      </c>
      <c r="K237" s="7" t="n">
        <v>9.9</v>
      </c>
      <c r="L237" s="7" t="n">
        <v>35.5</v>
      </c>
    </row>
    <row r="238">
      <c r="A238" s="7" t="inlineStr">
        <is>
          <t>98531</t>
        </is>
      </c>
      <c r="B238" s="7" t="inlineStr">
        <is>
          <t>Centralia</t>
        </is>
      </c>
      <c r="C238" s="7" t="inlineStr">
        <is>
          <t>Lewis</t>
        </is>
      </c>
      <c r="D238" s="7" t="n">
        <v>39.04555314533623</v>
      </c>
      <c r="E238" s="7" t="n">
        <v>25.01546378630486</v>
      </c>
      <c r="F238" s="7">
        <f>D238-E238</f>
        <v/>
      </c>
      <c r="G238" s="7">
        <f>ABS(F238)</f>
        <v/>
      </c>
      <c r="H238" s="7">
        <f>F238^2</f>
        <v/>
      </c>
      <c r="I238" s="7" t="n">
        <v>63406</v>
      </c>
      <c r="J238" s="7" t="n">
        <v>21.41431670281996</v>
      </c>
      <c r="K238" s="7" t="n">
        <v>7.7</v>
      </c>
      <c r="L238" s="7" t="n">
        <v>25.8</v>
      </c>
    </row>
    <row r="239">
      <c r="A239" s="7" t="inlineStr">
        <is>
          <t>98532</t>
        </is>
      </c>
      <c r="B239" s="7" t="inlineStr">
        <is>
          <t>Chehalis</t>
        </is>
      </c>
      <c r="C239" s="7" t="inlineStr">
        <is>
          <t>Lewis</t>
        </is>
      </c>
      <c r="D239" s="7" t="n">
        <v>36.82908260373049</v>
      </c>
      <c r="E239" s="7" t="n">
        <v>51.57689443329298</v>
      </c>
      <c r="F239" s="7">
        <f>D239-E239</f>
        <v/>
      </c>
      <c r="G239" s="7">
        <f>ABS(F239)</f>
        <v/>
      </c>
      <c r="H239" s="7">
        <f>F239^2</f>
        <v/>
      </c>
      <c r="I239" s="7" t="n">
        <v>89910</v>
      </c>
      <c r="J239" s="7" t="n">
        <v>12.09554625047583</v>
      </c>
      <c r="K239" s="7" t="n">
        <v>11</v>
      </c>
      <c r="L239" s="7" t="n">
        <v>26.6</v>
      </c>
    </row>
    <row r="240">
      <c r="A240" s="7" t="inlineStr">
        <is>
          <t>98533</t>
        </is>
      </c>
      <c r="B240" s="7" t="inlineStr">
        <is>
          <t>Cinebar</t>
        </is>
      </c>
      <c r="C240" s="7" t="inlineStr">
        <is>
          <t>Lewis</t>
        </is>
      </c>
      <c r="D240" s="7" t="n">
        <v>26.88172043010753</v>
      </c>
      <c r="E240" s="7" t="n">
        <v>-6.366887876689269</v>
      </c>
      <c r="F240" s="7">
        <f>D240-E240</f>
        <v/>
      </c>
      <c r="G240" s="7">
        <f>ABS(F240)</f>
        <v/>
      </c>
      <c r="H240" s="7">
        <f>F240^2</f>
        <v/>
      </c>
      <c r="I240" s="7" t="n">
        <v>39208</v>
      </c>
      <c r="J240" s="7" t="n">
        <v>0</v>
      </c>
      <c r="K240" s="7" t="n">
        <v>7</v>
      </c>
      <c r="L240" s="7" t="n">
        <v>28.6</v>
      </c>
    </row>
    <row r="241">
      <c r="A241" s="7" t="inlineStr">
        <is>
          <t>98535</t>
        </is>
      </c>
      <c r="B241" s="7" t="inlineStr">
        <is>
          <t>Copalis Beach</t>
        </is>
      </c>
      <c r="C241" s="7" t="inlineStr">
        <is>
          <t>Grays Harbor</t>
        </is>
      </c>
      <c r="D241" s="7" t="n">
        <v>24</v>
      </c>
      <c r="E241" s="7" t="n">
        <v>44.93419879675616</v>
      </c>
      <c r="F241" s="7">
        <f>D241-E241</f>
        <v/>
      </c>
      <c r="G241" s="7">
        <f>ABS(F241)</f>
        <v/>
      </c>
      <c r="H241" s="7">
        <f>F241^2</f>
        <v/>
      </c>
      <c r="I241" s="7" t="n">
        <v>92544</v>
      </c>
      <c r="J241" s="7" t="n">
        <v>0</v>
      </c>
      <c r="K241" s="7" t="n">
        <v>7.7</v>
      </c>
      <c r="L241" s="7" t="n">
        <v>21</v>
      </c>
    </row>
    <row r="242">
      <c r="A242" s="7" t="inlineStr">
        <is>
          <t>98537</t>
        </is>
      </c>
      <c r="B242" s="7" t="inlineStr">
        <is>
          <t>Cosmopolis</t>
        </is>
      </c>
      <c r="C242" s="7" t="inlineStr">
        <is>
          <t>Grays Harbor</t>
        </is>
      </c>
      <c r="D242" s="7" t="n">
        <v>27.36098852603707</v>
      </c>
      <c r="E242" s="7" t="n">
        <v>30.75200870762636</v>
      </c>
      <c r="F242" s="7">
        <f>D242-E242</f>
        <v/>
      </c>
      <c r="G242" s="7">
        <f>ABS(F242)</f>
        <v/>
      </c>
      <c r="H242" s="7">
        <f>F242^2</f>
        <v/>
      </c>
      <c r="I242" s="7" t="n">
        <v>79459</v>
      </c>
      <c r="J242" s="7" t="n">
        <v>3.353927625772286</v>
      </c>
      <c r="K242" s="7" t="n">
        <v>4.7</v>
      </c>
      <c r="L242" s="7" t="n">
        <v>30.3</v>
      </c>
    </row>
    <row r="243">
      <c r="A243" s="7" t="inlineStr">
        <is>
          <t>98538</t>
        </is>
      </c>
      <c r="B243" s="7" t="inlineStr">
        <is>
          <t>Curtis</t>
        </is>
      </c>
      <c r="C243" s="7" t="inlineStr">
        <is>
          <t>Lewis</t>
        </is>
      </c>
      <c r="D243" s="7" t="n">
        <v>42.7807486631016</v>
      </c>
      <c r="E243" s="7" t="n">
        <v>59.322927818756</v>
      </c>
      <c r="F243" s="7">
        <f>D243-E243</f>
        <v/>
      </c>
      <c r="G243" s="7">
        <f>ABS(F243)</f>
        <v/>
      </c>
      <c r="H243" s="7">
        <f>F243^2</f>
        <v/>
      </c>
      <c r="I243" s="7" t="n">
        <v>105000</v>
      </c>
      <c r="J243" s="7" t="n">
        <v>0</v>
      </c>
      <c r="K243" s="7" t="n">
        <v>8.4</v>
      </c>
      <c r="L243" s="7" t="n">
        <v>22.2</v>
      </c>
    </row>
    <row r="244">
      <c r="A244" s="7" t="inlineStr">
        <is>
          <t>98539</t>
        </is>
      </c>
      <c r="B244" s="7" t="inlineStr">
        <is>
          <t>Doty</t>
        </is>
      </c>
      <c r="C244" s="7" t="inlineStr">
        <is>
          <t>Lewis</t>
        </is>
      </c>
      <c r="D244" s="7" t="n">
        <v>16.66666666666667</v>
      </c>
      <c r="E244" s="7" t="n">
        <v>37.35416236960462</v>
      </c>
      <c r="F244" s="7">
        <f>D244-E244</f>
        <v/>
      </c>
      <c r="G244" s="7">
        <f>ABS(F244)</f>
        <v/>
      </c>
      <c r="H244" s="7">
        <f>F244^2</f>
        <v/>
      </c>
      <c r="I244" s="7" t="n">
        <v>87625</v>
      </c>
      <c r="J244" s="7" t="n">
        <v>0</v>
      </c>
      <c r="K244" s="7" t="n">
        <v>5.5</v>
      </c>
      <c r="L244" s="7" t="n">
        <v>27.7</v>
      </c>
    </row>
    <row r="245">
      <c r="A245" s="7" t="inlineStr">
        <is>
          <t>98541</t>
        </is>
      </c>
      <c r="B245" s="7" t="inlineStr">
        <is>
          <t>Elma</t>
        </is>
      </c>
      <c r="C245" s="7" t="inlineStr">
        <is>
          <t>Grays Harbor</t>
        </is>
      </c>
      <c r="D245" s="7" t="n">
        <v>24.2645479922697</v>
      </c>
      <c r="E245" s="7" t="n">
        <v>43.35282970174211</v>
      </c>
      <c r="F245" s="7">
        <f>D245-E245</f>
        <v/>
      </c>
      <c r="G245" s="7">
        <f>ABS(F245)</f>
        <v/>
      </c>
      <c r="H245" s="7">
        <f>F245^2</f>
        <v/>
      </c>
      <c r="I245" s="7" t="n">
        <v>78816</v>
      </c>
      <c r="J245" s="7" t="n">
        <v>5.690358599957054</v>
      </c>
      <c r="K245" s="7" t="n">
        <v>12.6</v>
      </c>
      <c r="L245" s="7" t="n">
        <v>33.6</v>
      </c>
    </row>
    <row r="246">
      <c r="A246" s="7" t="inlineStr">
        <is>
          <t>98542</t>
        </is>
      </c>
      <c r="B246" s="7" t="inlineStr">
        <is>
          <t>Ethel</t>
        </is>
      </c>
      <c r="C246" s="7" t="inlineStr">
        <is>
          <t>Lewis</t>
        </is>
      </c>
      <c r="D246" s="7" t="n">
        <v>73.91304347826087</v>
      </c>
      <c r="E246" s="7" t="n">
        <v>2.405551799954623</v>
      </c>
      <c r="F246" s="7">
        <f>D246-E246</f>
        <v/>
      </c>
      <c r="G246" s="7">
        <f>ABS(F246)</f>
        <v/>
      </c>
      <c r="H246" s="7">
        <f>F246^2</f>
        <v/>
      </c>
      <c r="I246" s="7" t="n">
        <v>52963</v>
      </c>
      <c r="J246" s="7" t="n">
        <v>0</v>
      </c>
      <c r="K246" s="7" t="n">
        <v>3.6</v>
      </c>
      <c r="L246" s="7" t="n">
        <v>25.6</v>
      </c>
    </row>
    <row r="247">
      <c r="A247" s="7" t="inlineStr">
        <is>
          <t>98546</t>
        </is>
      </c>
      <c r="B247" s="7" t="inlineStr">
        <is>
          <t>Grapeview</t>
        </is>
      </c>
      <c r="C247" s="7" t="inlineStr">
        <is>
          <t>Mason</t>
        </is>
      </c>
      <c r="D247" s="7" t="n">
        <v>59.8372426998564</v>
      </c>
      <c r="E247" s="7" t="n">
        <v>59.44766231612027</v>
      </c>
      <c r="F247" s="7">
        <f>D247-E247</f>
        <v/>
      </c>
      <c r="G247" s="7">
        <f>ABS(F247)</f>
        <v/>
      </c>
      <c r="H247" s="7">
        <f>F247^2</f>
        <v/>
      </c>
      <c r="I247" s="7" t="n">
        <v>97159</v>
      </c>
      <c r="J247" s="7" t="n">
        <v>0</v>
      </c>
      <c r="K247" s="7" t="n">
        <v>11.8</v>
      </c>
      <c r="L247" s="7" t="n">
        <v>42</v>
      </c>
    </row>
    <row r="248">
      <c r="A248" s="7" t="inlineStr">
        <is>
          <t>98547</t>
        </is>
      </c>
      <c r="B248" s="7" t="inlineStr">
        <is>
          <t>Grayland</t>
        </is>
      </c>
      <c r="C248" s="7" t="inlineStr">
        <is>
          <t>Grays Harbor</t>
        </is>
      </c>
      <c r="D248" s="7" t="n">
        <v>15.48672566371681</v>
      </c>
      <c r="E248" s="7" t="n">
        <v>26.9810080254648</v>
      </c>
      <c r="F248" s="7">
        <f>D248-E248</f>
        <v/>
      </c>
      <c r="G248" s="7">
        <f>ABS(F248)</f>
        <v/>
      </c>
      <c r="H248" s="7">
        <f>F248^2</f>
        <v/>
      </c>
      <c r="I248" s="7" t="n">
        <v>42400</v>
      </c>
      <c r="J248" s="7" t="n">
        <v>1.843657817109144</v>
      </c>
      <c r="K248" s="7" t="n">
        <v>32.5</v>
      </c>
      <c r="L248" s="7" t="n">
        <v>27</v>
      </c>
    </row>
    <row r="249">
      <c r="A249" s="7" t="inlineStr">
        <is>
          <t>98548</t>
        </is>
      </c>
      <c r="B249" s="7" t="inlineStr">
        <is>
          <t>Hoodsport</t>
        </is>
      </c>
      <c r="C249" s="7" t="inlineStr">
        <is>
          <t>Mason</t>
        </is>
      </c>
      <c r="D249" s="7" t="n">
        <v>34.54085930918281</v>
      </c>
      <c r="E249" s="7" t="n">
        <v>69.97159935063584</v>
      </c>
      <c r="F249" s="7">
        <f>D249-E249</f>
        <v/>
      </c>
      <c r="G249" s="7">
        <f>ABS(F249)</f>
        <v/>
      </c>
      <c r="H249" s="7">
        <f>F249^2</f>
        <v/>
      </c>
      <c r="I249" s="7" t="n">
        <v>68452</v>
      </c>
      <c r="J249" s="7" t="n">
        <v>0.6739679865206403</v>
      </c>
      <c r="K249" s="7" t="n">
        <v>41.5</v>
      </c>
      <c r="L249" s="7" t="n">
        <v>52</v>
      </c>
    </row>
    <row r="250">
      <c r="A250" s="7" t="inlineStr">
        <is>
          <t>98550</t>
        </is>
      </c>
      <c r="B250" s="7" t="inlineStr">
        <is>
          <t>Hoquiam</t>
        </is>
      </c>
      <c r="C250" s="7" t="inlineStr">
        <is>
          <t>Grays Harbor</t>
        </is>
      </c>
      <c r="D250" s="7" t="n">
        <v>16.18905842947525</v>
      </c>
      <c r="E250" s="7" t="n">
        <v>14.43242927409519</v>
      </c>
      <c r="F250" s="7">
        <f>D250-E250</f>
        <v/>
      </c>
      <c r="G250" s="7">
        <f>ABS(F250)</f>
        <v/>
      </c>
      <c r="H250" s="7">
        <f>F250^2</f>
        <v/>
      </c>
      <c r="I250" s="7" t="n">
        <v>55040</v>
      </c>
      <c r="J250" s="7" t="n">
        <v>12.65351693338295</v>
      </c>
      <c r="K250" s="7" t="n">
        <v>9.800000000000001</v>
      </c>
      <c r="L250" s="7" t="n">
        <v>22.3</v>
      </c>
    </row>
    <row r="251">
      <c r="A251" s="7" t="inlineStr">
        <is>
          <t>98552</t>
        </is>
      </c>
      <c r="B251" s="7" t="inlineStr">
        <is>
          <t>Humptulips</t>
        </is>
      </c>
      <c r="C251" s="7" t="inlineStr">
        <is>
          <t>Grays Harbor</t>
        </is>
      </c>
      <c r="D251" s="7" t="n">
        <v>20</v>
      </c>
      <c r="E251" s="7" t="n">
        <v>15.19509785942802</v>
      </c>
      <c r="F251" s="7">
        <f>D251-E251</f>
        <v/>
      </c>
      <c r="G251" s="7">
        <f>ABS(F251)</f>
        <v/>
      </c>
      <c r="H251" s="7">
        <f>F251^2</f>
        <v/>
      </c>
      <c r="I251" s="7" t="n">
        <v>47396</v>
      </c>
      <c r="J251" s="7" t="n">
        <v>0</v>
      </c>
      <c r="K251" s="7" t="n">
        <v>7.1</v>
      </c>
      <c r="L251" s="7" t="n">
        <v>61</v>
      </c>
    </row>
    <row r="252">
      <c r="A252" s="7" t="inlineStr">
        <is>
          <t>98557</t>
        </is>
      </c>
      <c r="B252" s="7" t="inlineStr">
        <is>
          <t>Mccleary</t>
        </is>
      </c>
      <c r="C252" s="7" t="inlineStr">
        <is>
          <t>Grays Harbor</t>
        </is>
      </c>
      <c r="D252" s="7" t="n">
        <v>41.81184668989548</v>
      </c>
      <c r="E252" s="7" t="n">
        <v>53.62661526132518</v>
      </c>
      <c r="F252" s="7">
        <f>D252-E252</f>
        <v/>
      </c>
      <c r="G252" s="7">
        <f>ABS(F252)</f>
        <v/>
      </c>
      <c r="H252" s="7">
        <f>F252^2</f>
        <v/>
      </c>
      <c r="I252" s="7" t="n">
        <v>78594</v>
      </c>
      <c r="J252" s="7" t="n">
        <v>10.2787456445993</v>
      </c>
      <c r="K252" s="7" t="n">
        <v>24.2</v>
      </c>
      <c r="L252" s="7" t="n">
        <v>29.9</v>
      </c>
    </row>
    <row r="253">
      <c r="A253" s="7" t="inlineStr">
        <is>
          <t>98560</t>
        </is>
      </c>
      <c r="B253" s="7" t="inlineStr">
        <is>
          <t>Matlock</t>
        </is>
      </c>
      <c r="C253" s="7" t="inlineStr">
        <is>
          <t>Mason</t>
        </is>
      </c>
      <c r="D253" s="7" t="n">
        <v>22.22222222222222</v>
      </c>
      <c r="E253" s="7" t="n">
        <v>12.78988913822156</v>
      </c>
      <c r="F253" s="7">
        <f>D253-E253</f>
        <v/>
      </c>
      <c r="G253" s="7">
        <f>ABS(F253)</f>
        <v/>
      </c>
      <c r="H253" s="7">
        <f>F253^2</f>
        <v/>
      </c>
      <c r="I253" s="7" t="n">
        <v>72596</v>
      </c>
      <c r="J253" s="7" t="n">
        <v>0</v>
      </c>
      <c r="K253" s="7" t="n">
        <v>0</v>
      </c>
      <c r="L253" s="7" t="n">
        <v>15.9</v>
      </c>
    </row>
    <row r="254">
      <c r="A254" s="7" t="inlineStr">
        <is>
          <t>98563</t>
        </is>
      </c>
      <c r="B254" s="7" t="inlineStr">
        <is>
          <t>Montesano</t>
        </is>
      </c>
      <c r="C254" s="7" t="inlineStr">
        <is>
          <t>Grays Harbor</t>
        </is>
      </c>
      <c r="D254" s="7" t="n">
        <v>38.89969435954432</v>
      </c>
      <c r="E254" s="7" t="n">
        <v>46.32815783194872</v>
      </c>
      <c r="F254" s="7">
        <f>D254-E254</f>
        <v/>
      </c>
      <c r="G254" s="7">
        <f>ABS(F254)</f>
        <v/>
      </c>
      <c r="H254" s="7">
        <f>F254^2</f>
        <v/>
      </c>
      <c r="I254" s="7" t="n">
        <v>84634</v>
      </c>
      <c r="J254" s="7" t="n">
        <v>14.50402889691581</v>
      </c>
      <c r="K254" s="7" t="n">
        <v>11.4</v>
      </c>
      <c r="L254" s="7" t="n">
        <v>23</v>
      </c>
    </row>
    <row r="255">
      <c r="A255" s="7" t="inlineStr">
        <is>
          <t>98564</t>
        </is>
      </c>
      <c r="B255" s="7" t="inlineStr">
        <is>
          <t>Mossyrock</t>
        </is>
      </c>
      <c r="C255" s="7" t="inlineStr">
        <is>
          <t>Lewis</t>
        </is>
      </c>
      <c r="D255" s="7" t="n">
        <v>27.69926512153759</v>
      </c>
      <c r="E255" s="7" t="n">
        <v>15.97927291915131</v>
      </c>
      <c r="F255" s="7">
        <f>D255-E255</f>
        <v/>
      </c>
      <c r="G255" s="7">
        <f>ABS(F255)</f>
        <v/>
      </c>
      <c r="H255" s="7">
        <f>F255^2</f>
        <v/>
      </c>
      <c r="I255" s="7" t="n">
        <v>60147</v>
      </c>
      <c r="J255" s="7" t="n">
        <v>1.526286037309214</v>
      </c>
      <c r="K255" s="7" t="n">
        <v>8.1</v>
      </c>
      <c r="L255" s="7" t="n">
        <v>30</v>
      </c>
    </row>
    <row r="256">
      <c r="A256" s="7" t="inlineStr">
        <is>
          <t>98565</t>
        </is>
      </c>
      <c r="B256" s="7" t="inlineStr">
        <is>
          <t>Napavine</t>
        </is>
      </c>
      <c r="C256" s="7" t="inlineStr">
        <is>
          <t>Lewis</t>
        </is>
      </c>
      <c r="D256" s="7" t="n">
        <v>42.32804232804233</v>
      </c>
      <c r="E256" s="7" t="n">
        <v>17.69776960846169</v>
      </c>
      <c r="F256" s="7">
        <f>D256-E256</f>
        <v/>
      </c>
      <c r="G256" s="7">
        <f>ABS(F256)</f>
        <v/>
      </c>
      <c r="H256" s="7">
        <f>F256^2</f>
        <v/>
      </c>
      <c r="I256" s="7" t="n">
        <v>73750</v>
      </c>
      <c r="J256" s="7" t="n">
        <v>4.232804232804233</v>
      </c>
      <c r="K256" s="7" t="n">
        <v>0</v>
      </c>
      <c r="L256" s="7" t="n">
        <v>22.6</v>
      </c>
    </row>
    <row r="257">
      <c r="A257" s="7" t="inlineStr">
        <is>
          <t>98568</t>
        </is>
      </c>
      <c r="B257" s="7" t="inlineStr">
        <is>
          <t>Oakville</t>
        </is>
      </c>
      <c r="C257" s="7" t="inlineStr">
        <is>
          <t>Grays Harbor</t>
        </is>
      </c>
      <c r="D257" s="7" t="n">
        <v>35.2760736196319</v>
      </c>
      <c r="E257" s="7" t="n">
        <v>41.27203514316301</v>
      </c>
      <c r="F257" s="7">
        <f>D257-E257</f>
        <v/>
      </c>
      <c r="G257" s="7">
        <f>ABS(F257)</f>
        <v/>
      </c>
      <c r="H257" s="7">
        <f>F257^2</f>
        <v/>
      </c>
      <c r="I257" s="7" t="n">
        <v>84531</v>
      </c>
      <c r="J257" s="7" t="n">
        <v>6.058282208588957</v>
      </c>
      <c r="K257" s="7" t="n">
        <v>7.4</v>
      </c>
      <c r="L257" s="7" t="n">
        <v>31.1</v>
      </c>
    </row>
    <row r="258">
      <c r="A258" s="7" t="inlineStr">
        <is>
          <t>98569</t>
        </is>
      </c>
      <c r="B258" s="7" t="inlineStr">
        <is>
          <t>Ocean Shores</t>
        </is>
      </c>
      <c r="C258" s="7" t="inlineStr">
        <is>
          <t>Grays Harbor</t>
        </is>
      </c>
      <c r="D258" s="7" t="n">
        <v>41.02564102564103</v>
      </c>
      <c r="E258" s="7" t="n">
        <v>28.45690518979947</v>
      </c>
      <c r="F258" s="7">
        <f>D258-E258</f>
        <v/>
      </c>
      <c r="G258" s="7">
        <f>ABS(F258)</f>
        <v/>
      </c>
      <c r="H258" s="7">
        <f>F258^2</f>
        <v/>
      </c>
      <c r="I258" s="7" t="n">
        <v>58378</v>
      </c>
      <c r="J258" s="7" t="n">
        <v>13.8626964433416</v>
      </c>
      <c r="K258" s="7" t="n">
        <v>19</v>
      </c>
      <c r="L258" s="7" t="n">
        <v>25.6</v>
      </c>
    </row>
    <row r="259">
      <c r="A259" s="7" t="inlineStr">
        <is>
          <t>98570</t>
        </is>
      </c>
      <c r="B259" s="7" t="inlineStr">
        <is>
          <t>Onalaska</t>
        </is>
      </c>
      <c r="C259" s="7" t="inlineStr">
        <is>
          <t>Lewis</t>
        </is>
      </c>
      <c r="D259" s="7" t="n">
        <v>35.54040895813048</v>
      </c>
      <c r="E259" s="7" t="n">
        <v>75.42721299449647</v>
      </c>
      <c r="F259" s="7">
        <f>D259-E259</f>
        <v/>
      </c>
      <c r="G259" s="7">
        <f>ABS(F259)</f>
        <v/>
      </c>
      <c r="H259" s="7">
        <f>F259^2</f>
        <v/>
      </c>
      <c r="I259" s="7" t="n">
        <v>95795</v>
      </c>
      <c r="J259" s="7" t="n">
        <v>3.846153846153846</v>
      </c>
      <c r="K259" s="7" t="n">
        <v>25</v>
      </c>
      <c r="L259" s="7" t="n">
        <v>33.2</v>
      </c>
    </row>
    <row r="260">
      <c r="A260" s="7" t="inlineStr">
        <is>
          <t>98572</t>
        </is>
      </c>
      <c r="B260" s="7" t="inlineStr">
        <is>
          <t>Pe Ell</t>
        </is>
      </c>
      <c r="C260" s="7" t="inlineStr">
        <is>
          <t>Lewis</t>
        </is>
      </c>
      <c r="D260" s="7" t="n">
        <v>15.33742331288344</v>
      </c>
      <c r="E260" s="7" t="n">
        <v>19.32623689609639</v>
      </c>
      <c r="F260" s="7">
        <f>D260-E260</f>
        <v/>
      </c>
      <c r="G260" s="7">
        <f>ABS(F260)</f>
        <v/>
      </c>
      <c r="H260" s="7">
        <f>F260^2</f>
        <v/>
      </c>
      <c r="I260" s="7" t="n">
        <v>64013</v>
      </c>
      <c r="J260" s="7" t="n">
        <v>3.680981595092025</v>
      </c>
      <c r="K260" s="7" t="n">
        <v>7.9</v>
      </c>
      <c r="L260" s="7" t="n">
        <v>31.9</v>
      </c>
    </row>
    <row r="261">
      <c r="A261" s="7" t="inlineStr">
        <is>
          <t>98575</t>
        </is>
      </c>
      <c r="B261" s="7" t="inlineStr">
        <is>
          <t>Quinault</t>
        </is>
      </c>
      <c r="C261" s="7" t="inlineStr">
        <is>
          <t>Grays Harbor</t>
        </is>
      </c>
      <c r="D261" s="7" t="n">
        <v>28.16901408450704</v>
      </c>
      <c r="E261" s="7" t="n">
        <v>20.32804245685377</v>
      </c>
      <c r="F261" s="7">
        <f>D261-E261</f>
        <v/>
      </c>
      <c r="G261" s="7">
        <f>ABS(F261)</f>
        <v/>
      </c>
      <c r="H261" s="7">
        <f>F261^2</f>
        <v/>
      </c>
      <c r="I261" s="7" t="n">
        <v>68125</v>
      </c>
      <c r="J261" s="7" t="n">
        <v>0</v>
      </c>
      <c r="K261" s="7" t="n">
        <v>2.6</v>
      </c>
      <c r="L261" s="7" t="n">
        <v>38.5</v>
      </c>
    </row>
    <row r="262">
      <c r="A262" s="7" t="inlineStr">
        <is>
          <t>98576</t>
        </is>
      </c>
      <c r="B262" s="7" t="inlineStr">
        <is>
          <t>Rainier</t>
        </is>
      </c>
      <c r="C262" s="7" t="inlineStr">
        <is>
          <t>Thurston</t>
        </is>
      </c>
      <c r="D262" s="7" t="n">
        <v>59.85722130697419</v>
      </c>
      <c r="E262" s="7" t="n">
        <v>78.67096478619074</v>
      </c>
      <c r="F262" s="7">
        <f>D262-E262</f>
        <v/>
      </c>
      <c r="G262" s="7">
        <f>ABS(F262)</f>
        <v/>
      </c>
      <c r="H262" s="7">
        <f>F262^2</f>
        <v/>
      </c>
      <c r="I262" s="7" t="n">
        <v>104896</v>
      </c>
      <c r="J262" s="7" t="n">
        <v>2.965403624382208</v>
      </c>
      <c r="K262" s="7" t="n">
        <v>23</v>
      </c>
      <c r="L262" s="7" t="n">
        <v>37.9</v>
      </c>
    </row>
    <row r="263">
      <c r="A263" s="7" t="inlineStr">
        <is>
          <t>98577</t>
        </is>
      </c>
      <c r="B263" s="7" t="inlineStr">
        <is>
          <t>Raymond</t>
        </is>
      </c>
      <c r="C263" s="7" t="inlineStr">
        <is>
          <t>Pacific</t>
        </is>
      </c>
      <c r="D263" s="7" t="n">
        <v>23.27637006482027</v>
      </c>
      <c r="E263" s="7" t="n">
        <v>21.53596836737835</v>
      </c>
      <c r="F263" s="7">
        <f>D263-E263</f>
        <v/>
      </c>
      <c r="G263" s="7">
        <f>ABS(F263)</f>
        <v/>
      </c>
      <c r="H263" s="7">
        <f>F263^2</f>
        <v/>
      </c>
      <c r="I263" s="7" t="n">
        <v>63780</v>
      </c>
      <c r="J263" s="7" t="n">
        <v>7.041838538597525</v>
      </c>
      <c r="K263" s="7" t="n">
        <v>9.699999999999999</v>
      </c>
      <c r="L263" s="7" t="n">
        <v>23.4</v>
      </c>
    </row>
    <row r="264">
      <c r="A264" s="7" t="inlineStr">
        <is>
          <t>98579</t>
        </is>
      </c>
      <c r="B264" s="7" t="inlineStr">
        <is>
          <t>Rochester</t>
        </is>
      </c>
      <c r="C264" s="7" t="inlineStr">
        <is>
          <t>Thurston</t>
        </is>
      </c>
      <c r="D264" s="7" t="n">
        <v>38.59380970576996</v>
      </c>
      <c r="E264" s="7" t="n">
        <v>61.4647334041837</v>
      </c>
      <c r="F264" s="7">
        <f>D264-E264</f>
        <v/>
      </c>
      <c r="G264" s="7">
        <f>ABS(F264)</f>
        <v/>
      </c>
      <c r="H264" s="7">
        <f>F264^2</f>
        <v/>
      </c>
      <c r="I264" s="7" t="n">
        <v>99411</v>
      </c>
      <c r="J264" s="7" t="n">
        <v>4.432556362246848</v>
      </c>
      <c r="K264" s="7" t="n">
        <v>14.1</v>
      </c>
      <c r="L264" s="7" t="n">
        <v>29.4</v>
      </c>
    </row>
    <row r="265">
      <c r="A265" s="7" t="inlineStr">
        <is>
          <t>98580</t>
        </is>
      </c>
      <c r="B265" s="7" t="inlineStr">
        <is>
          <t>Roy</t>
        </is>
      </c>
      <c r="C265" s="7" t="inlineStr">
        <is>
          <t>Pierce</t>
        </is>
      </c>
      <c r="D265" s="7" t="n">
        <v>46.54088050314465</v>
      </c>
      <c r="E265" s="7" t="n">
        <v>75.23427722940808</v>
      </c>
      <c r="F265" s="7">
        <f>D265-E265</f>
        <v/>
      </c>
      <c r="G265" s="7">
        <f>ABS(F265)</f>
        <v/>
      </c>
      <c r="H265" s="7">
        <f>F265^2</f>
        <v/>
      </c>
      <c r="I265" s="7" t="n">
        <v>104684</v>
      </c>
      <c r="J265" s="7" t="n">
        <v>0.2725366876310272</v>
      </c>
      <c r="K265" s="7" t="n">
        <v>13.5</v>
      </c>
      <c r="L265" s="7" t="n">
        <v>47.1</v>
      </c>
    </row>
    <row r="266">
      <c r="A266" s="7" t="inlineStr">
        <is>
          <t>98581</t>
        </is>
      </c>
      <c r="B266" s="7" t="inlineStr">
        <is>
          <t>Ryderwood</t>
        </is>
      </c>
      <c r="C266" s="7" t="inlineStr">
        <is>
          <t>Cowlitz</t>
        </is>
      </c>
      <c r="D266" s="7" t="n">
        <v>3.98406374501992</v>
      </c>
      <c r="E266" s="7" t="n">
        <v>-11.63472003384798</v>
      </c>
      <c r="F266" s="7">
        <f>D266-E266</f>
        <v/>
      </c>
      <c r="G266" s="7">
        <f>ABS(F266)</f>
        <v/>
      </c>
      <c r="H266" s="7">
        <f>F266^2</f>
        <v/>
      </c>
      <c r="I266" s="7" t="n">
        <v>43009</v>
      </c>
      <c r="J266" s="7" t="n">
        <v>0</v>
      </c>
      <c r="K266" s="7" t="n">
        <v>0</v>
      </c>
      <c r="L266" s="7" t="n">
        <v>32</v>
      </c>
    </row>
    <row r="267">
      <c r="A267" s="7" t="inlineStr">
        <is>
          <t>98584</t>
        </is>
      </c>
      <c r="B267" s="7" t="inlineStr">
        <is>
          <t>Shelton</t>
        </is>
      </c>
      <c r="C267" s="7" t="inlineStr">
        <is>
          <t>Mason</t>
        </is>
      </c>
      <c r="D267" s="7" t="n">
        <v>40.81284153005464</v>
      </c>
      <c r="E267" s="7" t="n">
        <v>43.4820478377341</v>
      </c>
      <c r="F267" s="7">
        <f>D267-E267</f>
        <v/>
      </c>
      <c r="G267" s="7">
        <f>ABS(F267)</f>
        <v/>
      </c>
      <c r="H267" s="7">
        <f>F267^2</f>
        <v/>
      </c>
      <c r="I267" s="7" t="n">
        <v>78610</v>
      </c>
      <c r="J267" s="7" t="n">
        <v>5.976775956284152</v>
      </c>
      <c r="K267" s="7" t="n">
        <v>14.6</v>
      </c>
      <c r="L267" s="7" t="n">
        <v>32.4</v>
      </c>
    </row>
    <row r="268">
      <c r="A268" s="7" t="inlineStr">
        <is>
          <t>98586</t>
        </is>
      </c>
      <c r="B268" s="7" t="inlineStr">
        <is>
          <t>South Bend</t>
        </is>
      </c>
      <c r="C268" s="7" t="inlineStr">
        <is>
          <t>Pacific</t>
        </is>
      </c>
      <c r="D268" s="7" t="n">
        <v>13.49831271091114</v>
      </c>
      <c r="E268" s="7" t="n">
        <v>7.843058130282351</v>
      </c>
      <c r="F268" s="7">
        <f>D268-E268</f>
        <v/>
      </c>
      <c r="G268" s="7">
        <f>ABS(F268)</f>
        <v/>
      </c>
      <c r="H268" s="7">
        <f>F268^2</f>
        <v/>
      </c>
      <c r="I268" s="7" t="n">
        <v>50893</v>
      </c>
      <c r="J268" s="7" t="n">
        <v>16.87289088863892</v>
      </c>
      <c r="K268" s="7" t="n">
        <v>7</v>
      </c>
      <c r="L268" s="7" t="n">
        <v>20.7</v>
      </c>
    </row>
    <row r="269">
      <c r="A269" s="7" t="inlineStr">
        <is>
          <t>98587</t>
        </is>
      </c>
      <c r="B269" s="7" t="inlineStr">
        <is>
          <t>Taholah</t>
        </is>
      </c>
      <c r="C269" s="7" t="inlineStr">
        <is>
          <t>Grays Harbor</t>
        </is>
      </c>
      <c r="D269" s="7" t="n">
        <v>12.46882793017456</v>
      </c>
      <c r="E269" s="7" t="n">
        <v>-6.134172479449141</v>
      </c>
      <c r="F269" s="7">
        <f>D269-E269</f>
        <v/>
      </c>
      <c r="G269" s="7">
        <f>ABS(F269)</f>
        <v/>
      </c>
      <c r="H269" s="7">
        <f>F269^2</f>
        <v/>
      </c>
      <c r="I269" s="7" t="n">
        <v>51458</v>
      </c>
      <c r="J269" s="7" t="n">
        <v>1.496259351620948</v>
      </c>
      <c r="K269" s="7" t="n">
        <v>2.8</v>
      </c>
      <c r="L269" s="7" t="n">
        <v>13.7</v>
      </c>
    </row>
    <row r="270">
      <c r="A270" s="7" t="inlineStr">
        <is>
          <t>98588</t>
        </is>
      </c>
      <c r="B270" s="7" t="inlineStr">
        <is>
          <t>Tahuya</t>
        </is>
      </c>
      <c r="C270" s="7" t="inlineStr">
        <is>
          <t>Mason</t>
        </is>
      </c>
      <c r="D270" s="7" t="n">
        <v>34.19354838709678</v>
      </c>
      <c r="E270" s="7" t="n">
        <v>25.06716655018573</v>
      </c>
      <c r="F270" s="7">
        <f>D270-E270</f>
        <v/>
      </c>
      <c r="G270" s="7">
        <f>ABS(F270)</f>
        <v/>
      </c>
      <c r="H270" s="7">
        <f>F270^2</f>
        <v/>
      </c>
      <c r="I270" s="7" t="n">
        <v>61975</v>
      </c>
      <c r="J270" s="7" t="n">
        <v>0</v>
      </c>
      <c r="K270" s="7" t="n">
        <v>10.9</v>
      </c>
      <c r="L270" s="7" t="n">
        <v>49</v>
      </c>
    </row>
    <row r="271">
      <c r="A271" s="7" t="inlineStr">
        <is>
          <t>98589</t>
        </is>
      </c>
      <c r="B271" s="7" t="inlineStr">
        <is>
          <t>Tenino</t>
        </is>
      </c>
      <c r="C271" s="7" t="inlineStr">
        <is>
          <t>Thurston</t>
        </is>
      </c>
      <c r="D271" s="7" t="n">
        <v>52.05302295505982</v>
      </c>
      <c r="E271" s="7" t="n">
        <v>53.26419044900992</v>
      </c>
      <c r="F271" s="7">
        <f>D271-E271</f>
        <v/>
      </c>
      <c r="G271" s="7">
        <f>ABS(F271)</f>
        <v/>
      </c>
      <c r="H271" s="7">
        <f>F271^2</f>
        <v/>
      </c>
      <c r="I271" s="7" t="n">
        <v>83855</v>
      </c>
      <c r="J271" s="7" t="n">
        <v>5.787261558357581</v>
      </c>
      <c r="K271" s="7" t="n">
        <v>17</v>
      </c>
      <c r="L271" s="7" t="n">
        <v>31.8</v>
      </c>
    </row>
    <row r="272">
      <c r="A272" s="7" t="inlineStr">
        <is>
          <t>98590</t>
        </is>
      </c>
      <c r="B272" s="7" t="inlineStr">
        <is>
          <t>Tokeland</t>
        </is>
      </c>
      <c r="C272" s="7" t="inlineStr">
        <is>
          <t>Pacific</t>
        </is>
      </c>
      <c r="D272" s="7" t="n">
        <v>46.59498207885305</v>
      </c>
      <c r="E272" s="7" t="n">
        <v>127.1078114219983</v>
      </c>
      <c r="F272" s="7">
        <f>D272-E272</f>
        <v/>
      </c>
      <c r="G272" s="7">
        <f>ABS(F272)</f>
        <v/>
      </c>
      <c r="H272" s="7">
        <f>F272^2</f>
        <v/>
      </c>
      <c r="I272" s="7" t="n">
        <v>110706</v>
      </c>
      <c r="J272" s="7" t="n">
        <v>6.093189964157706</v>
      </c>
      <c r="K272" s="7" t="n">
        <v>58.5</v>
      </c>
      <c r="L272" s="7" t="n">
        <v>20.1</v>
      </c>
    </row>
    <row r="273">
      <c r="A273" s="7" t="inlineStr">
        <is>
          <t>98591</t>
        </is>
      </c>
      <c r="B273" s="7" t="inlineStr">
        <is>
          <t>Toledo</t>
        </is>
      </c>
      <c r="C273" s="7" t="inlineStr">
        <is>
          <t>Lewis</t>
        </is>
      </c>
      <c r="D273" s="7" t="n">
        <v>42.74041483343809</v>
      </c>
      <c r="E273" s="7" t="n">
        <v>33.69924940081583</v>
      </c>
      <c r="F273" s="7">
        <f>D273-E273</f>
        <v/>
      </c>
      <c r="G273" s="7">
        <f>ABS(F273)</f>
        <v/>
      </c>
      <c r="H273" s="7">
        <f>F273^2</f>
        <v/>
      </c>
      <c r="I273" s="7" t="n">
        <v>78952</v>
      </c>
      <c r="J273" s="7" t="n">
        <v>2.451288497800126</v>
      </c>
      <c r="K273" s="7" t="n">
        <v>5.4</v>
      </c>
      <c r="L273" s="7" t="n">
        <v>36.3</v>
      </c>
    </row>
    <row r="274">
      <c r="A274" s="7" t="inlineStr">
        <is>
          <t>98592</t>
        </is>
      </c>
      <c r="B274" s="7" t="inlineStr">
        <is>
          <t>Union</t>
        </is>
      </c>
      <c r="C274" s="7" t="inlineStr">
        <is>
          <t>Mason</t>
        </is>
      </c>
      <c r="D274" s="7" t="n">
        <v>84.97316636851521</v>
      </c>
      <c r="E274" s="7" t="n">
        <v>131.6308933171611</v>
      </c>
      <c r="F274" s="7">
        <f>D274-E274</f>
        <v/>
      </c>
      <c r="G274" s="7">
        <f>ABS(F274)</f>
        <v/>
      </c>
      <c r="H274" s="7">
        <f>F274^2</f>
        <v/>
      </c>
      <c r="I274" s="7" t="n">
        <v>138370</v>
      </c>
      <c r="J274" s="7" t="n">
        <v>0</v>
      </c>
      <c r="K274" s="7" t="n">
        <v>37</v>
      </c>
      <c r="L274" s="7" t="n">
        <v>55.5</v>
      </c>
    </row>
    <row r="275">
      <c r="A275" s="7" t="inlineStr">
        <is>
          <t>98593</t>
        </is>
      </c>
      <c r="B275" s="7" t="inlineStr">
        <is>
          <t>Vader</t>
        </is>
      </c>
      <c r="C275" s="7" t="inlineStr">
        <is>
          <t>Lewis</t>
        </is>
      </c>
      <c r="D275" s="7" t="n">
        <v>20.63492063492064</v>
      </c>
      <c r="E275" s="7" t="n">
        <v>39.5878458946321</v>
      </c>
      <c r="F275" s="7">
        <f>D275-E275</f>
        <v/>
      </c>
      <c r="G275" s="7">
        <f>ABS(F275)</f>
        <v/>
      </c>
      <c r="H275" s="7">
        <f>F275^2</f>
        <v/>
      </c>
      <c r="I275" s="7" t="n">
        <v>84244</v>
      </c>
      <c r="J275" s="7" t="n">
        <v>2.380952380952381</v>
      </c>
      <c r="K275" s="7" t="n">
        <v>3.9</v>
      </c>
      <c r="L275" s="7" t="n">
        <v>38.9</v>
      </c>
    </row>
    <row r="276">
      <c r="A276" s="7" t="inlineStr">
        <is>
          <t>98595</t>
        </is>
      </c>
      <c r="B276" s="7" t="inlineStr">
        <is>
          <t>Westport</t>
        </is>
      </c>
      <c r="C276" s="7" t="inlineStr">
        <is>
          <t>Grays Harbor</t>
        </is>
      </c>
      <c r="D276" s="7" t="n">
        <v>25.22185894441849</v>
      </c>
      <c r="E276" s="7" t="n">
        <v>25.90295823197203</v>
      </c>
      <c r="F276" s="7">
        <f>D276-E276</f>
        <v/>
      </c>
      <c r="G276" s="7">
        <f>ABS(F276)</f>
        <v/>
      </c>
      <c r="H276" s="7">
        <f>F276^2</f>
        <v/>
      </c>
      <c r="I276" s="7" t="n">
        <v>66579</v>
      </c>
      <c r="J276" s="7" t="n">
        <v>18.07566557683326</v>
      </c>
      <c r="K276" s="7" t="n">
        <v>10.5</v>
      </c>
      <c r="L276" s="7" t="n">
        <v>13.4</v>
      </c>
    </row>
    <row r="277">
      <c r="A277" s="7" t="inlineStr">
        <is>
          <t>98596</t>
        </is>
      </c>
      <c r="B277" s="7" t="inlineStr">
        <is>
          <t>Winlock</t>
        </is>
      </c>
      <c r="C277" s="7" t="inlineStr">
        <is>
          <t>Lewis</t>
        </is>
      </c>
      <c r="D277" s="7" t="n">
        <v>48.41269841269841</v>
      </c>
      <c r="E277" s="7" t="n">
        <v>40.83408999147461</v>
      </c>
      <c r="F277" s="7">
        <f>D277-E277</f>
        <v/>
      </c>
      <c r="G277" s="7">
        <f>ABS(F277)</f>
        <v/>
      </c>
      <c r="H277" s="7">
        <f>F277^2</f>
        <v/>
      </c>
      <c r="I277" s="7" t="n">
        <v>80188</v>
      </c>
      <c r="J277" s="7" t="n">
        <v>2.063492063492063</v>
      </c>
      <c r="K277" s="7" t="n">
        <v>12.3</v>
      </c>
      <c r="L277" s="7" t="n">
        <v>28.7</v>
      </c>
    </row>
    <row r="278">
      <c r="A278" s="7" t="inlineStr">
        <is>
          <t>98597</t>
        </is>
      </c>
      <c r="B278" s="7" t="inlineStr">
        <is>
          <t>Yelm</t>
        </is>
      </c>
      <c r="C278" s="7" t="inlineStr">
        <is>
          <t>Thurston</t>
        </is>
      </c>
      <c r="D278" s="7" t="n">
        <v>53.06240369799692</v>
      </c>
      <c r="E278" s="7" t="n">
        <v>56.77979859731466</v>
      </c>
      <c r="F278" s="7">
        <f>D278-E278</f>
        <v/>
      </c>
      <c r="G278" s="7">
        <f>ABS(F278)</f>
        <v/>
      </c>
      <c r="H278" s="7">
        <f>F278^2</f>
        <v/>
      </c>
      <c r="I278" s="7" t="n">
        <v>92219</v>
      </c>
      <c r="J278" s="7" t="n">
        <v>6.866332819722651</v>
      </c>
      <c r="K278" s="7" t="n">
        <v>11</v>
      </c>
      <c r="L278" s="7" t="n">
        <v>36.2</v>
      </c>
    </row>
    <row r="279">
      <c r="A279" s="7" t="inlineStr">
        <is>
          <t>98601</t>
        </is>
      </c>
      <c r="B279" s="7" t="inlineStr">
        <is>
          <t>Amboy</t>
        </is>
      </c>
      <c r="C279" s="7" t="inlineStr">
        <is>
          <t>Clark</t>
        </is>
      </c>
      <c r="D279" s="7" t="n">
        <v>42.97224709042077</v>
      </c>
      <c r="E279" s="7" t="n">
        <v>81.03007560495763</v>
      </c>
      <c r="F279" s="7">
        <f>D279-E279</f>
        <v/>
      </c>
      <c r="G279" s="7">
        <f>ABS(F279)</f>
        <v/>
      </c>
      <c r="H279" s="7">
        <f>F279^2</f>
        <v/>
      </c>
      <c r="I279" s="7" t="n">
        <v>106776</v>
      </c>
      <c r="J279" s="7" t="n">
        <v>0</v>
      </c>
      <c r="K279" s="7" t="n">
        <v>24.4</v>
      </c>
      <c r="L279" s="7" t="n">
        <v>38.3</v>
      </c>
    </row>
    <row r="280">
      <c r="A280" s="7" t="inlineStr">
        <is>
          <t>98603</t>
        </is>
      </c>
      <c r="B280" s="7" t="inlineStr">
        <is>
          <t>Ariel</t>
        </is>
      </c>
      <c r="C280" s="7" t="inlineStr">
        <is>
          <t>Cowlitz</t>
        </is>
      </c>
      <c r="D280" s="7" t="n">
        <v>42.27642276422764</v>
      </c>
      <c r="E280" s="7" t="n">
        <v>43.71320492297455</v>
      </c>
      <c r="F280" s="7">
        <f>D280-E280</f>
        <v/>
      </c>
      <c r="G280" s="7">
        <f>ABS(F280)</f>
        <v/>
      </c>
      <c r="H280" s="7">
        <f>F280^2</f>
        <v/>
      </c>
      <c r="I280" s="7" t="n">
        <v>78281</v>
      </c>
      <c r="J280" s="7" t="n">
        <v>0</v>
      </c>
      <c r="K280" s="7" t="n">
        <v>13.3</v>
      </c>
      <c r="L280" s="7" t="n">
        <v>48</v>
      </c>
    </row>
    <row r="281">
      <c r="A281" s="7" t="inlineStr">
        <is>
          <t>98604</t>
        </is>
      </c>
      <c r="B281" s="7" t="inlineStr">
        <is>
          <t>Battle Ground</t>
        </is>
      </c>
      <c r="C281" s="7" t="inlineStr">
        <is>
          <t>Clark</t>
        </is>
      </c>
      <c r="D281" s="7" t="n">
        <v>80.08689355539464</v>
      </c>
      <c r="E281" s="7" t="n">
        <v>78.67201361409863</v>
      </c>
      <c r="F281" s="7">
        <f>D281-E281</f>
        <v/>
      </c>
      <c r="G281" s="7">
        <f>ABS(F281)</f>
        <v/>
      </c>
      <c r="H281" s="7">
        <f>F281^2</f>
        <v/>
      </c>
      <c r="I281" s="7" t="n">
        <v>112448</v>
      </c>
      <c r="J281" s="7" t="n">
        <v>10.32585083272991</v>
      </c>
      <c r="K281" s="7" t="n">
        <v>15.5</v>
      </c>
      <c r="L281" s="7" t="n">
        <v>28.9</v>
      </c>
    </row>
    <row r="282">
      <c r="A282" s="7" t="inlineStr">
        <is>
          <t>98605</t>
        </is>
      </c>
      <c r="B282" s="7" t="inlineStr">
        <is>
          <t>Bingen</t>
        </is>
      </c>
      <c r="C282" s="7" t="inlineStr">
        <is>
          <t>Klickitat</t>
        </is>
      </c>
      <c r="D282" s="7" t="n">
        <v>30.36053130929791</v>
      </c>
      <c r="E282" s="7" t="n">
        <v>36.10295256808506</v>
      </c>
      <c r="F282" s="7">
        <f>D282-E282</f>
        <v/>
      </c>
      <c r="G282" s="7">
        <f>ABS(F282)</f>
        <v/>
      </c>
      <c r="H282" s="7">
        <f>F282^2</f>
        <v/>
      </c>
      <c r="I282" s="7" t="n">
        <v>72917</v>
      </c>
      <c r="J282" s="7" t="n">
        <v>9.297912713472485</v>
      </c>
      <c r="K282" s="7" t="n">
        <v>15.5</v>
      </c>
      <c r="L282" s="7" t="n">
        <v>22.9</v>
      </c>
    </row>
    <row r="283">
      <c r="A283" s="7" t="inlineStr">
        <is>
          <t>98606</t>
        </is>
      </c>
      <c r="B283" s="7" t="inlineStr">
        <is>
          <t>Brush Prairie</t>
        </is>
      </c>
      <c r="C283" s="7" t="inlineStr">
        <is>
          <t>Clark</t>
        </is>
      </c>
      <c r="D283" s="7" t="n">
        <v>122.6084613311776</v>
      </c>
      <c r="E283" s="7" t="n">
        <v>90.42070059659113</v>
      </c>
      <c r="F283" s="7">
        <f>D283-E283</f>
        <v/>
      </c>
      <c r="G283" s="7">
        <f>ABS(F283)</f>
        <v/>
      </c>
      <c r="H283" s="7">
        <f>F283^2</f>
        <v/>
      </c>
      <c r="I283" s="7" t="n">
        <v>115151</v>
      </c>
      <c r="J283" s="7" t="n">
        <v>1.401239558070601</v>
      </c>
      <c r="K283" s="7" t="n">
        <v>27.8</v>
      </c>
      <c r="L283" s="7" t="n">
        <v>25.9</v>
      </c>
    </row>
    <row r="284">
      <c r="A284" s="7" t="inlineStr">
        <is>
          <t>98607</t>
        </is>
      </c>
      <c r="B284" s="7" t="inlineStr">
        <is>
          <t>Camas</t>
        </is>
      </c>
      <c r="C284" s="7" t="inlineStr">
        <is>
          <t>Clark</t>
        </is>
      </c>
      <c r="D284" s="7" t="n">
        <v>199.3512010504364</v>
      </c>
      <c r="E284" s="7" t="n">
        <v>105.7404616535464</v>
      </c>
      <c r="F284" s="7">
        <f>D284-E284</f>
        <v/>
      </c>
      <c r="G284" s="7">
        <f>ABS(F284)</f>
        <v/>
      </c>
      <c r="H284" s="7">
        <f>F284^2</f>
        <v/>
      </c>
      <c r="I284" s="7" t="n">
        <v>128318</v>
      </c>
      <c r="J284" s="7" t="n">
        <v>11.16861048891635</v>
      </c>
      <c r="K284" s="7" t="n">
        <v>26.6</v>
      </c>
      <c r="L284" s="7" t="n">
        <v>24.8</v>
      </c>
    </row>
    <row r="285">
      <c r="A285" s="7" t="inlineStr">
        <is>
          <t>98610</t>
        </is>
      </c>
      <c r="B285" s="7" t="inlineStr">
        <is>
          <t>Carson</t>
        </is>
      </c>
      <c r="C285" s="7" t="inlineStr">
        <is>
          <t>Skamania</t>
        </is>
      </c>
      <c r="D285" s="7" t="n">
        <v>20.86137281292059</v>
      </c>
      <c r="E285" s="7" t="n">
        <v>31.44258153760033</v>
      </c>
      <c r="F285" s="7">
        <f>D285-E285</f>
        <v/>
      </c>
      <c r="G285" s="7">
        <f>ABS(F285)</f>
        <v/>
      </c>
      <c r="H285" s="7">
        <f>F285^2</f>
        <v/>
      </c>
      <c r="I285" s="7" t="n">
        <v>72773</v>
      </c>
      <c r="J285" s="7" t="n">
        <v>4.441453566621804</v>
      </c>
      <c r="K285" s="7" t="n">
        <v>11.3</v>
      </c>
      <c r="L285" s="7" t="n">
        <v>29.6</v>
      </c>
    </row>
    <row r="286">
      <c r="A286" s="7" t="inlineStr">
        <is>
          <t>98611</t>
        </is>
      </c>
      <c r="B286" s="7" t="inlineStr">
        <is>
          <t>Castle Rock</t>
        </is>
      </c>
      <c r="C286" s="7" t="inlineStr">
        <is>
          <t>Cowlitz</t>
        </is>
      </c>
      <c r="D286" s="7" t="n">
        <v>38.9470856835885</v>
      </c>
      <c r="E286" s="7" t="n">
        <v>41.9442060746314</v>
      </c>
      <c r="F286" s="7">
        <f>D286-E286</f>
        <v/>
      </c>
      <c r="G286" s="7">
        <f>ABS(F286)</f>
        <v/>
      </c>
      <c r="H286" s="7">
        <f>F286^2</f>
        <v/>
      </c>
      <c r="I286" s="7" t="n">
        <v>86322</v>
      </c>
      <c r="J286" s="7" t="n">
        <v>6.768734891216761</v>
      </c>
      <c r="K286" s="7" t="n">
        <v>6.8</v>
      </c>
      <c r="L286" s="7" t="n">
        <v>29.2</v>
      </c>
    </row>
    <row r="287">
      <c r="A287" s="7" t="inlineStr">
        <is>
          <t>98612</t>
        </is>
      </c>
      <c r="B287" s="7" t="inlineStr">
        <is>
          <t>Cathlamet</t>
        </is>
      </c>
      <c r="C287" s="7" t="inlineStr">
        <is>
          <t>Wahkiakum</t>
        </is>
      </c>
      <c r="D287" s="7" t="n">
        <v>41.74573055028463</v>
      </c>
      <c r="E287" s="7" t="n">
        <v>20.5671856586582</v>
      </c>
      <c r="F287" s="7">
        <f>D287-E287</f>
        <v/>
      </c>
      <c r="G287" s="7">
        <f>ABS(F287)</f>
        <v/>
      </c>
      <c r="H287" s="7">
        <f>F287^2</f>
        <v/>
      </c>
      <c r="I287" s="7" t="n">
        <v>59583</v>
      </c>
      <c r="J287" s="7" t="n">
        <v>4.996837444655281</v>
      </c>
      <c r="K287" s="7" t="n">
        <v>14.5</v>
      </c>
      <c r="L287" s="7" t="n">
        <v>25.8</v>
      </c>
    </row>
    <row r="288">
      <c r="A288" s="7" t="inlineStr">
        <is>
          <t>98613</t>
        </is>
      </c>
      <c r="B288" s="7" t="inlineStr">
        <is>
          <t>Centerville</t>
        </is>
      </c>
      <c r="C288" s="7" t="inlineStr">
        <is>
          <t>Klickitat</t>
        </is>
      </c>
      <c r="D288" s="7" t="n">
        <v>11.67315175097276</v>
      </c>
      <c r="E288" s="7" t="n">
        <v>55.23914213445129</v>
      </c>
      <c r="F288" s="7">
        <f>D288-E288</f>
        <v/>
      </c>
      <c r="G288" s="7">
        <f>ABS(F288)</f>
        <v/>
      </c>
      <c r="H288" s="7">
        <f>F288^2</f>
        <v/>
      </c>
      <c r="I288" s="7" t="n">
        <v>95000</v>
      </c>
      <c r="J288" s="7" t="n">
        <v>0</v>
      </c>
      <c r="K288" s="7" t="n">
        <v>12.7</v>
      </c>
      <c r="L288" s="7" t="n">
        <v>28</v>
      </c>
    </row>
    <row r="289">
      <c r="A289" s="7" t="inlineStr">
        <is>
          <t>98614</t>
        </is>
      </c>
      <c r="B289" s="7" t="inlineStr">
        <is>
          <t>Chinook</t>
        </is>
      </c>
      <c r="C289" s="7" t="inlineStr">
        <is>
          <t>Pacific</t>
        </is>
      </c>
      <c r="D289" s="7" t="n">
        <v>19.23076923076923</v>
      </c>
      <c r="E289" s="7" t="n">
        <v>51.10448349403334</v>
      </c>
      <c r="F289" s="7">
        <f>D289-E289</f>
        <v/>
      </c>
      <c r="G289" s="7">
        <f>ABS(F289)</f>
        <v/>
      </c>
      <c r="H289" s="7">
        <f>F289^2</f>
        <v/>
      </c>
      <c r="I289" s="7" t="n">
        <v>94219</v>
      </c>
      <c r="J289" s="7" t="n">
        <v>1.373626373626374</v>
      </c>
      <c r="K289" s="7" t="n">
        <v>12.3</v>
      </c>
      <c r="L289" s="7" t="n">
        <v>15.4</v>
      </c>
    </row>
    <row r="290">
      <c r="A290" s="7" t="inlineStr">
        <is>
          <t>98617</t>
        </is>
      </c>
      <c r="B290" s="7" t="inlineStr">
        <is>
          <t>Dallesport</t>
        </is>
      </c>
      <c r="C290" s="7" t="inlineStr">
        <is>
          <t>Klickitat</t>
        </is>
      </c>
      <c r="D290" s="7" t="n">
        <v>25.6</v>
      </c>
      <c r="E290" s="7" t="n">
        <v>23.13485822708414</v>
      </c>
      <c r="F290" s="7">
        <f>D290-E290</f>
        <v/>
      </c>
      <c r="G290" s="7">
        <f>ABS(F290)</f>
        <v/>
      </c>
      <c r="H290" s="7">
        <f>F290^2</f>
        <v/>
      </c>
      <c r="I290" s="7" t="n">
        <v>71130</v>
      </c>
      <c r="J290" s="7" t="n">
        <v>0</v>
      </c>
      <c r="K290" s="7" t="n">
        <v>8</v>
      </c>
      <c r="L290" s="7" t="n">
        <v>26.9</v>
      </c>
    </row>
    <row r="291">
      <c r="A291" s="7" t="inlineStr">
        <is>
          <t>98619</t>
        </is>
      </c>
      <c r="B291" s="7" t="inlineStr">
        <is>
          <t>Glenwood</t>
        </is>
      </c>
      <c r="C291" s="7" t="inlineStr">
        <is>
          <t>Klickitat</t>
        </is>
      </c>
      <c r="D291" s="7" t="n">
        <v>14.76014760147601</v>
      </c>
      <c r="E291" s="7" t="n">
        <v>38.13101146246265</v>
      </c>
      <c r="F291" s="7">
        <f>D291-E291</f>
        <v/>
      </c>
      <c r="G291" s="7">
        <f>ABS(F291)</f>
        <v/>
      </c>
      <c r="H291" s="7">
        <f>F291^2</f>
        <v/>
      </c>
      <c r="I291" s="7" t="n">
        <v>76667</v>
      </c>
      <c r="J291" s="7" t="n">
        <v>2.583025830258303</v>
      </c>
      <c r="K291" s="7" t="n">
        <v>12.2</v>
      </c>
      <c r="L291" s="7" t="n">
        <v>31.6</v>
      </c>
    </row>
    <row r="292">
      <c r="A292" s="7" t="inlineStr">
        <is>
          <t>98620</t>
        </is>
      </c>
      <c r="B292" s="7" t="inlineStr">
        <is>
          <t>Goldendale</t>
        </is>
      </c>
      <c r="C292" s="7" t="inlineStr">
        <is>
          <t>Klickitat</t>
        </is>
      </c>
      <c r="D292" s="7" t="n">
        <v>16.22937516905599</v>
      </c>
      <c r="E292" s="7" t="n">
        <v>22.62199305846614</v>
      </c>
      <c r="F292" s="7">
        <f>D292-E292</f>
        <v/>
      </c>
      <c r="G292" s="7">
        <f>ABS(F292)</f>
        <v/>
      </c>
      <c r="H292" s="7">
        <f>F292^2</f>
        <v/>
      </c>
      <c r="I292" s="7" t="n">
        <v>60500</v>
      </c>
      <c r="J292" s="7" t="n">
        <v>11.27941574249391</v>
      </c>
      <c r="K292" s="7" t="n">
        <v>11.4</v>
      </c>
      <c r="L292" s="7" t="n">
        <v>29</v>
      </c>
    </row>
    <row r="293">
      <c r="A293" s="7" t="inlineStr">
        <is>
          <t>98621</t>
        </is>
      </c>
      <c r="B293" s="7" t="inlineStr">
        <is>
          <t>Grays River</t>
        </is>
      </c>
      <c r="C293" s="7" t="inlineStr">
        <is>
          <t>Wahkiakum</t>
        </is>
      </c>
      <c r="D293" s="7" t="n">
        <v>71.42857142857143</v>
      </c>
      <c r="E293" s="7" t="n">
        <v>92.2379814645958</v>
      </c>
      <c r="F293" s="7">
        <f>D293-E293</f>
        <v/>
      </c>
      <c r="G293" s="7">
        <f>ABS(F293)</f>
        <v/>
      </c>
      <c r="H293" s="7">
        <f>F293^2</f>
        <v/>
      </c>
      <c r="I293" s="7" t="n">
        <v>91250</v>
      </c>
      <c r="J293" s="7" t="n">
        <v>0</v>
      </c>
      <c r="K293" s="7" t="n">
        <v>45.6</v>
      </c>
      <c r="L293" s="7" t="n">
        <v>32.3</v>
      </c>
    </row>
    <row r="294">
      <c r="A294" s="7" t="inlineStr">
        <is>
          <t>98624</t>
        </is>
      </c>
      <c r="B294" s="7" t="inlineStr">
        <is>
          <t>Ilwaco</t>
        </is>
      </c>
      <c r="C294" s="7" t="inlineStr">
        <is>
          <t>Pacific</t>
        </is>
      </c>
      <c r="D294" s="7" t="n">
        <v>25.86206896551724</v>
      </c>
      <c r="E294" s="7" t="n">
        <v>34.35521469073278</v>
      </c>
      <c r="F294" s="7">
        <f>D294-E294</f>
        <v/>
      </c>
      <c r="G294" s="7">
        <f>ABS(F294)</f>
        <v/>
      </c>
      <c r="H294" s="7">
        <f>F294^2</f>
        <v/>
      </c>
      <c r="I294" s="7" t="n">
        <v>83214</v>
      </c>
      <c r="J294" s="7" t="n">
        <v>11.20689655172414</v>
      </c>
      <c r="K294" s="7" t="n">
        <v>5.6</v>
      </c>
      <c r="L294" s="7" t="n">
        <v>15.7</v>
      </c>
    </row>
    <row r="295">
      <c r="A295" s="7" t="inlineStr">
        <is>
          <t>98625</t>
        </is>
      </c>
      <c r="B295" s="7" t="inlineStr">
        <is>
          <t>Kalama</t>
        </is>
      </c>
      <c r="C295" s="7" t="inlineStr">
        <is>
          <t>Cowlitz</t>
        </is>
      </c>
      <c r="D295" s="7" t="n">
        <v>68.44106463878327</v>
      </c>
      <c r="E295" s="7" t="n">
        <v>82.96039001215588</v>
      </c>
      <c r="F295" s="7">
        <f>D295-E295</f>
        <v/>
      </c>
      <c r="G295" s="7">
        <f>ABS(F295)</f>
        <v/>
      </c>
      <c r="H295" s="7">
        <f>F295^2</f>
        <v/>
      </c>
      <c r="I295" s="7" t="n">
        <v>116435</v>
      </c>
      <c r="J295" s="7" t="n">
        <v>12.04055766793409</v>
      </c>
      <c r="K295" s="7" t="n">
        <v>12.9</v>
      </c>
      <c r="L295" s="7" t="n">
        <v>28.9</v>
      </c>
    </row>
    <row r="296">
      <c r="A296" s="7" t="inlineStr">
        <is>
          <t>98626</t>
        </is>
      </c>
      <c r="B296" s="7" t="inlineStr">
        <is>
          <t>Kelso</t>
        </is>
      </c>
      <c r="C296" s="7" t="inlineStr">
        <is>
          <t>Cowlitz</t>
        </is>
      </c>
      <c r="D296" s="7" t="n">
        <v>30.5591677503251</v>
      </c>
      <c r="E296" s="7" t="n">
        <v>33.4575486711831</v>
      </c>
      <c r="F296" s="7">
        <f>D296-E296</f>
        <v/>
      </c>
      <c r="G296" s="7">
        <f>ABS(F296)</f>
        <v/>
      </c>
      <c r="H296" s="7">
        <f>F296^2</f>
        <v/>
      </c>
      <c r="I296" s="7" t="n">
        <v>75528</v>
      </c>
      <c r="J296" s="7" t="n">
        <v>17.57384358164592</v>
      </c>
      <c r="K296" s="7" t="n">
        <v>7.2</v>
      </c>
      <c r="L296" s="7" t="n">
        <v>23</v>
      </c>
    </row>
    <row r="297">
      <c r="A297" s="7" t="inlineStr">
        <is>
          <t>98628</t>
        </is>
      </c>
      <c r="B297" s="7" t="inlineStr">
        <is>
          <t>Klickitat</t>
        </is>
      </c>
      <c r="C297" s="7" t="inlineStr">
        <is>
          <t>Klickitat</t>
        </is>
      </c>
      <c r="D297" s="7" t="n">
        <v>9.009009009009009</v>
      </c>
      <c r="E297" s="7" t="n">
        <v>18.08721611420651</v>
      </c>
      <c r="F297" s="7">
        <f>D297-E297</f>
        <v/>
      </c>
      <c r="G297" s="7">
        <f>ABS(F297)</f>
        <v/>
      </c>
      <c r="H297" s="7">
        <f>F297^2</f>
        <v/>
      </c>
      <c r="I297" s="7" t="n">
        <v>63438</v>
      </c>
      <c r="J297" s="7" t="n">
        <v>2.702702702702703</v>
      </c>
      <c r="K297" s="7" t="n">
        <v>6</v>
      </c>
      <c r="L297" s="7" t="n">
        <v>32.8</v>
      </c>
    </row>
    <row r="298">
      <c r="A298" s="7" t="inlineStr">
        <is>
          <t>98629</t>
        </is>
      </c>
      <c r="B298" s="7" t="inlineStr">
        <is>
          <t>La Center</t>
        </is>
      </c>
      <c r="C298" s="7" t="inlineStr">
        <is>
          <t>Clark</t>
        </is>
      </c>
      <c r="D298" s="7" t="n">
        <v>91.57098851862223</v>
      </c>
      <c r="E298" s="7" t="n">
        <v>74.2289589605442</v>
      </c>
      <c r="F298" s="7">
        <f>D298-E298</f>
        <v/>
      </c>
      <c r="G298" s="7">
        <f>ABS(F298)</f>
        <v/>
      </c>
      <c r="H298" s="7">
        <f>F298^2</f>
        <v/>
      </c>
      <c r="I298" s="7" t="n">
        <v>106779</v>
      </c>
      <c r="J298" s="7" t="n">
        <v>4.060487258471016</v>
      </c>
      <c r="K298" s="7" t="n">
        <v>16</v>
      </c>
      <c r="L298" s="7" t="n">
        <v>35.6</v>
      </c>
    </row>
    <row r="299">
      <c r="A299" s="7" t="inlineStr">
        <is>
          <t>98631</t>
        </is>
      </c>
      <c r="B299" s="7" t="inlineStr">
        <is>
          <t>Long Beach</t>
        </is>
      </c>
      <c r="C299" s="7" t="inlineStr">
        <is>
          <t>Pacific</t>
        </is>
      </c>
      <c r="D299" s="7" t="n">
        <v>19.68625038449708</v>
      </c>
      <c r="E299" s="7" t="n">
        <v>50.73717505230218</v>
      </c>
      <c r="F299" s="7">
        <f>D299-E299</f>
        <v/>
      </c>
      <c r="G299" s="7">
        <f>ABS(F299)</f>
        <v/>
      </c>
      <c r="H299" s="7">
        <f>F299^2</f>
        <v/>
      </c>
      <c r="I299" s="7" t="n">
        <v>71705</v>
      </c>
      <c r="J299" s="7" t="n">
        <v>17.87142417717626</v>
      </c>
      <c r="K299" s="7" t="n">
        <v>25.6</v>
      </c>
      <c r="L299" s="7" t="n">
        <v>18.6</v>
      </c>
    </row>
    <row r="300">
      <c r="A300" s="7" t="inlineStr">
        <is>
          <t>98632</t>
        </is>
      </c>
      <c r="B300" s="7" t="inlineStr">
        <is>
          <t>Longview</t>
        </is>
      </c>
      <c r="C300" s="7" t="inlineStr">
        <is>
          <t>Cowlitz</t>
        </is>
      </c>
      <c r="D300" s="7" t="n">
        <v>26.39915522703273</v>
      </c>
      <c r="E300" s="7" t="n">
        <v>28.92803373024108</v>
      </c>
      <c r="F300" s="7">
        <f>D300-E300</f>
        <v/>
      </c>
      <c r="G300" s="7">
        <f>ABS(F300)</f>
        <v/>
      </c>
      <c r="H300" s="7">
        <f>F300^2</f>
        <v/>
      </c>
      <c r="I300" s="7" t="n">
        <v>66305</v>
      </c>
      <c r="J300" s="7" t="n">
        <v>26.75267434920344</v>
      </c>
      <c r="K300" s="7" t="n">
        <v>7.1</v>
      </c>
      <c r="L300" s="7" t="n">
        <v>25.9</v>
      </c>
    </row>
    <row r="301">
      <c r="A301" s="7" t="inlineStr">
        <is>
          <t>98635</t>
        </is>
      </c>
      <c r="B301" s="7" t="inlineStr">
        <is>
          <t>Lyle</t>
        </is>
      </c>
      <c r="C301" s="7" t="inlineStr">
        <is>
          <t>Klickitat</t>
        </is>
      </c>
      <c r="D301" s="7" t="n">
        <v>62.88532675709001</v>
      </c>
      <c r="E301" s="7" t="n">
        <v>34.62763940696424</v>
      </c>
      <c r="F301" s="7">
        <f>D301-E301</f>
        <v/>
      </c>
      <c r="G301" s="7">
        <f>ABS(F301)</f>
        <v/>
      </c>
      <c r="H301" s="7">
        <f>F301^2</f>
        <v/>
      </c>
      <c r="I301" s="7" t="n">
        <v>61448</v>
      </c>
      <c r="J301" s="7" t="n">
        <v>2.589395807644883</v>
      </c>
      <c r="K301" s="7" t="n">
        <v>23.5</v>
      </c>
      <c r="L301" s="7" t="n">
        <v>24.2</v>
      </c>
    </row>
    <row r="302">
      <c r="A302" s="7" t="inlineStr">
        <is>
          <t>98638</t>
        </is>
      </c>
      <c r="B302" s="7" t="inlineStr">
        <is>
          <t>Naselle</t>
        </is>
      </c>
      <c r="C302" s="7" t="inlineStr">
        <is>
          <t>Pacific</t>
        </is>
      </c>
      <c r="D302" s="7" t="n">
        <v>36.22250970245796</v>
      </c>
      <c r="E302" s="7" t="n">
        <v>26.22921211865771</v>
      </c>
      <c r="F302" s="7">
        <f>D302-E302</f>
        <v/>
      </c>
      <c r="G302" s="7">
        <f>ABS(F302)</f>
        <v/>
      </c>
      <c r="H302" s="7">
        <f>F302^2</f>
        <v/>
      </c>
      <c r="I302" s="7" t="n">
        <v>63664</v>
      </c>
      <c r="J302" s="7" t="n">
        <v>0</v>
      </c>
      <c r="K302" s="7" t="n">
        <v>12</v>
      </c>
      <c r="L302" s="7" t="n">
        <v>45.4</v>
      </c>
    </row>
    <row r="303">
      <c r="A303" s="7" t="inlineStr">
        <is>
          <t>98639</t>
        </is>
      </c>
      <c r="B303" s="7" t="inlineStr">
        <is>
          <t>North Bonneville</t>
        </is>
      </c>
      <c r="C303" s="7" t="inlineStr">
        <is>
          <t>Skamania</t>
        </is>
      </c>
      <c r="D303" s="7" t="n">
        <v>42.43542435424354</v>
      </c>
      <c r="E303" s="7" t="n">
        <v>65.58982685564114</v>
      </c>
      <c r="F303" s="7">
        <f>D303-E303</f>
        <v/>
      </c>
      <c r="G303" s="7">
        <f>ABS(F303)</f>
        <v/>
      </c>
      <c r="H303" s="7">
        <f>F303^2</f>
        <v/>
      </c>
      <c r="I303" s="7" t="n">
        <v>100417</v>
      </c>
      <c r="J303" s="7" t="n">
        <v>23.80073800738007</v>
      </c>
      <c r="K303" s="7" t="n">
        <v>11</v>
      </c>
      <c r="L303" s="7" t="n">
        <v>26</v>
      </c>
    </row>
    <row r="304">
      <c r="A304" s="7" t="inlineStr">
        <is>
          <t>98640</t>
        </is>
      </c>
      <c r="B304" s="7" t="inlineStr">
        <is>
          <t>Ocean Park</t>
        </is>
      </c>
      <c r="C304" s="7" t="inlineStr">
        <is>
          <t>Pacific</t>
        </is>
      </c>
      <c r="D304" s="7" t="n">
        <v>24.60024600246003</v>
      </c>
      <c r="E304" s="7" t="n">
        <v>37.66188031801012</v>
      </c>
      <c r="F304" s="7">
        <f>D304-E304</f>
        <v/>
      </c>
      <c r="G304" s="7">
        <f>ABS(F304)</f>
        <v/>
      </c>
      <c r="H304" s="7">
        <f>F304^2</f>
        <v/>
      </c>
      <c r="I304" s="7" t="n">
        <v>65735</v>
      </c>
      <c r="J304" s="7" t="n">
        <v>1.804018040180402</v>
      </c>
      <c r="K304" s="7" t="n">
        <v>22.7</v>
      </c>
      <c r="L304" s="7" t="n">
        <v>24.1</v>
      </c>
    </row>
    <row r="305">
      <c r="A305" s="7" t="inlineStr">
        <is>
          <t>98642</t>
        </is>
      </c>
      <c r="B305" s="7" t="inlineStr">
        <is>
          <t>Ridgefield</t>
        </is>
      </c>
      <c r="C305" s="7" t="inlineStr">
        <is>
          <t>Clark</t>
        </is>
      </c>
      <c r="D305" s="7" t="n">
        <v>163.9031253140388</v>
      </c>
      <c r="E305" s="7" t="n">
        <v>97.15930838610174</v>
      </c>
      <c r="F305" s="7">
        <f>D305-E305</f>
        <v/>
      </c>
      <c r="G305" s="7">
        <f>ABS(F305)</f>
        <v/>
      </c>
      <c r="H305" s="7">
        <f>F305^2</f>
        <v/>
      </c>
      <c r="I305" s="7" t="n">
        <v>120822</v>
      </c>
      <c r="J305" s="7" t="n">
        <v>6.853582554517133</v>
      </c>
      <c r="K305" s="7" t="n">
        <v>23.3</v>
      </c>
      <c r="L305" s="7" t="n">
        <v>25.2</v>
      </c>
    </row>
    <row r="306">
      <c r="A306" s="7" t="inlineStr">
        <is>
          <t>98644</t>
        </is>
      </c>
      <c r="B306" s="7" t="inlineStr">
        <is>
          <t>Seaview</t>
        </is>
      </c>
      <c r="C306" s="7" t="inlineStr">
        <is>
          <t>Pacific</t>
        </is>
      </c>
      <c r="D306" s="7" t="n">
        <v>13.28502415458937</v>
      </c>
      <c r="E306" s="7" t="n">
        <v>-3.854640788763753</v>
      </c>
      <c r="F306" s="7">
        <f>D306-E306</f>
        <v/>
      </c>
      <c r="G306" s="7">
        <f>ABS(F306)</f>
        <v/>
      </c>
      <c r="H306" s="7">
        <f>F306^2</f>
        <v/>
      </c>
      <c r="I306" s="7" t="n">
        <v>48333</v>
      </c>
      <c r="J306" s="7" t="n">
        <v>21.4975845410628</v>
      </c>
      <c r="K306" s="7" t="n">
        <v>0</v>
      </c>
      <c r="L306" s="7" t="n">
        <v>11</v>
      </c>
    </row>
    <row r="307">
      <c r="A307" s="7" t="inlineStr">
        <is>
          <t>98645</t>
        </is>
      </c>
      <c r="B307" s="7" t="inlineStr">
        <is>
          <t>Silverlake</t>
        </is>
      </c>
      <c r="C307" s="7" t="inlineStr">
        <is>
          <t>Cowlitz</t>
        </is>
      </c>
      <c r="D307" s="7" t="n">
        <v>43.24324324324324</v>
      </c>
      <c r="E307" s="7" t="n">
        <v>48.39442964094798</v>
      </c>
      <c r="F307" s="7">
        <f>D307-E307</f>
        <v/>
      </c>
      <c r="G307" s="7">
        <f>ABS(F307)</f>
        <v/>
      </c>
      <c r="H307" s="7">
        <f>F307^2</f>
        <v/>
      </c>
      <c r="I307" s="7" t="n">
        <v>101429</v>
      </c>
      <c r="J307" s="7" t="n">
        <v>0</v>
      </c>
      <c r="K307" s="7" t="n">
        <v>1.3</v>
      </c>
      <c r="L307" s="7" t="n">
        <v>29.8</v>
      </c>
    </row>
    <row r="308">
      <c r="A308" s="7" t="inlineStr">
        <is>
          <t>98648</t>
        </is>
      </c>
      <c r="B308" s="7" t="inlineStr">
        <is>
          <t>Stevenson</t>
        </is>
      </c>
      <c r="C308" s="7" t="inlineStr">
        <is>
          <t>Skamania</t>
        </is>
      </c>
      <c r="D308" s="7" t="n">
        <v>56.32869449966865</v>
      </c>
      <c r="E308" s="7" t="n">
        <v>69.4612895921544</v>
      </c>
      <c r="F308" s="7">
        <f>D308-E308</f>
        <v/>
      </c>
      <c r="G308" s="7">
        <f>ABS(F308)</f>
        <v/>
      </c>
      <c r="H308" s="7">
        <f>F308^2</f>
        <v/>
      </c>
      <c r="I308" s="7" t="n">
        <v>96696</v>
      </c>
      <c r="J308" s="7" t="n">
        <v>10.07289595758781</v>
      </c>
      <c r="K308" s="7" t="n">
        <v>17.9</v>
      </c>
      <c r="L308" s="7" t="n">
        <v>32.9</v>
      </c>
    </row>
    <row r="309">
      <c r="A309" s="7" t="inlineStr">
        <is>
          <t>98649</t>
        </is>
      </c>
      <c r="B309" s="7" t="inlineStr">
        <is>
          <t>Toutle</t>
        </is>
      </c>
      <c r="C309" s="7" t="inlineStr">
        <is>
          <t>Cowlitz</t>
        </is>
      </c>
      <c r="D309" s="7" t="n">
        <v>35.54502369668246</v>
      </c>
      <c r="E309" s="7" t="n">
        <v>40.09325669684559</v>
      </c>
      <c r="F309" s="7">
        <f>D309-E309</f>
        <v/>
      </c>
      <c r="G309" s="7">
        <f>ABS(F309)</f>
        <v/>
      </c>
      <c r="H309" s="7">
        <f>F309^2</f>
        <v/>
      </c>
      <c r="I309" s="7" t="n">
        <v>73750</v>
      </c>
      <c r="J309" s="7" t="n">
        <v>0</v>
      </c>
      <c r="K309" s="7" t="n">
        <v>14.4</v>
      </c>
      <c r="L309" s="7" t="n">
        <v>47.2</v>
      </c>
    </row>
    <row r="310">
      <c r="A310" s="7" t="inlineStr">
        <is>
          <t>98650</t>
        </is>
      </c>
      <c r="B310" s="7" t="inlineStr">
        <is>
          <t>Trout Lake</t>
        </is>
      </c>
      <c r="C310" s="7" t="inlineStr">
        <is>
          <t>Klickitat</t>
        </is>
      </c>
      <c r="D310" s="7" t="n">
        <v>58.1039755351682</v>
      </c>
      <c r="E310" s="7" t="n">
        <v>34.52985589094164</v>
      </c>
      <c r="F310" s="7">
        <f>D310-E310</f>
        <v/>
      </c>
      <c r="G310" s="7">
        <f>ABS(F310)</f>
        <v/>
      </c>
      <c r="H310" s="7">
        <f>F310^2</f>
        <v/>
      </c>
      <c r="I310" s="7" t="n">
        <v>76607</v>
      </c>
      <c r="J310" s="7" t="n">
        <v>0.7645259938837921</v>
      </c>
      <c r="K310" s="7" t="n">
        <v>11.2</v>
      </c>
      <c r="L310" s="7" t="n">
        <v>25.2</v>
      </c>
    </row>
    <row r="311">
      <c r="A311" s="7" t="inlineStr">
        <is>
          <t>98651</t>
        </is>
      </c>
      <c r="B311" s="7" t="inlineStr">
        <is>
          <t>Underwood</t>
        </is>
      </c>
      <c r="C311" s="7" t="inlineStr">
        <is>
          <t>Skamania</t>
        </is>
      </c>
      <c r="D311" s="7" t="n">
        <v>93.12638580931264</v>
      </c>
      <c r="E311" s="7" t="n">
        <v>64.65228239237817</v>
      </c>
      <c r="F311" s="7">
        <f>D311-E311</f>
        <v/>
      </c>
      <c r="G311" s="7">
        <f>ABS(F311)</f>
        <v/>
      </c>
      <c r="H311" s="7">
        <f>F311^2</f>
        <v/>
      </c>
      <c r="I311" s="7" t="n">
        <v>90000</v>
      </c>
      <c r="J311" s="7" t="n">
        <v>4.212860310421286</v>
      </c>
      <c r="K311" s="7" t="n">
        <v>25.3</v>
      </c>
      <c r="L311" s="7" t="n">
        <v>20.2</v>
      </c>
    </row>
    <row r="312">
      <c r="A312" s="7" t="inlineStr">
        <is>
          <t>98660</t>
        </is>
      </c>
      <c r="B312" s="7" t="inlineStr">
        <is>
          <t>Vancouver</t>
        </is>
      </c>
      <c r="C312" s="7" t="inlineStr">
        <is>
          <t>Clark</t>
        </is>
      </c>
      <c r="D312" s="7" t="n">
        <v>77.57909215955983</v>
      </c>
      <c r="E312" s="7" t="n">
        <v>58.64712907362849</v>
      </c>
      <c r="F312" s="7">
        <f>D312-E312</f>
        <v/>
      </c>
      <c r="G312" s="7">
        <f>ABS(F312)</f>
        <v/>
      </c>
      <c r="H312" s="7">
        <f>F312^2</f>
        <v/>
      </c>
      <c r="I312" s="7" t="n">
        <v>67344</v>
      </c>
      <c r="J312" s="7" t="n">
        <v>55.59834938101788</v>
      </c>
      <c r="K312" s="7" t="n">
        <v>25</v>
      </c>
      <c r="L312" s="7" t="n">
        <v>22.6</v>
      </c>
    </row>
    <row r="313">
      <c r="A313" s="7" t="inlineStr">
        <is>
          <t>98661</t>
        </is>
      </c>
      <c r="B313" s="7" t="inlineStr">
        <is>
          <t>Vancouver</t>
        </is>
      </c>
      <c r="C313" s="7" t="inlineStr">
        <is>
          <t>Clark</t>
        </is>
      </c>
      <c r="D313" s="7" t="n">
        <v>48.60550623262488</v>
      </c>
      <c r="E313" s="7" t="n">
        <v>53.30911033412283</v>
      </c>
      <c r="F313" s="7">
        <f>D313-E313</f>
        <v/>
      </c>
      <c r="G313" s="7">
        <f>ABS(F313)</f>
        <v/>
      </c>
      <c r="H313" s="7">
        <f>F313^2</f>
        <v/>
      </c>
      <c r="I313" s="7" t="n">
        <v>76913</v>
      </c>
      <c r="J313" s="7" t="n">
        <v>48.95076674737692</v>
      </c>
      <c r="K313" s="7" t="n">
        <v>14.5</v>
      </c>
      <c r="L313" s="7" t="n">
        <v>22.1</v>
      </c>
    </row>
    <row r="314">
      <c r="A314" s="7" t="inlineStr">
        <is>
          <t>98662</t>
        </is>
      </c>
      <c r="B314" s="7" t="inlineStr">
        <is>
          <t>Vancouver</t>
        </is>
      </c>
      <c r="C314" s="7" t="inlineStr">
        <is>
          <t>Clark</t>
        </is>
      </c>
      <c r="D314" s="7" t="n">
        <v>69.16192026037429</v>
      </c>
      <c r="E314" s="7" t="n">
        <v>63.47926969142577</v>
      </c>
      <c r="F314" s="7">
        <f>D314-E314</f>
        <v/>
      </c>
      <c r="G314" s="7">
        <f>ABS(F314)</f>
        <v/>
      </c>
      <c r="H314" s="7">
        <f>F314^2</f>
        <v/>
      </c>
      <c r="I314" s="7" t="n">
        <v>94303</v>
      </c>
      <c r="J314" s="7" t="n">
        <v>23.20314618931381</v>
      </c>
      <c r="K314" s="7" t="n">
        <v>15.1</v>
      </c>
      <c r="L314" s="7" t="n">
        <v>24.2</v>
      </c>
    </row>
    <row r="315">
      <c r="A315" s="7" t="inlineStr">
        <is>
          <t>98663</t>
        </is>
      </c>
      <c r="B315" s="7" t="inlineStr">
        <is>
          <t>Vancouver</t>
        </is>
      </c>
      <c r="C315" s="7" t="inlineStr">
        <is>
          <t>Clark</t>
        </is>
      </c>
      <c r="D315" s="7" t="n">
        <v>62.58092360811394</v>
      </c>
      <c r="E315" s="7" t="n">
        <v>61.20582182147932</v>
      </c>
      <c r="F315" s="7">
        <f>D315-E315</f>
        <v/>
      </c>
      <c r="G315" s="7">
        <f>ABS(F315)</f>
        <v/>
      </c>
      <c r="H315" s="7">
        <f>F315^2</f>
        <v/>
      </c>
      <c r="I315" s="7" t="n">
        <v>86018</v>
      </c>
      <c r="J315" s="7" t="n">
        <v>21.59401524960437</v>
      </c>
      <c r="K315" s="7" t="n">
        <v>20.6</v>
      </c>
      <c r="L315" s="7" t="n">
        <v>23.4</v>
      </c>
    </row>
    <row r="316">
      <c r="A316" s="7" t="inlineStr">
        <is>
          <t>98664</t>
        </is>
      </c>
      <c r="B316" s="7" t="inlineStr">
        <is>
          <t>Vancouver</t>
        </is>
      </c>
      <c r="C316" s="7" t="inlineStr">
        <is>
          <t>Clark</t>
        </is>
      </c>
      <c r="D316" s="7" t="n">
        <v>65.85684168256199</v>
      </c>
      <c r="E316" s="7" t="n">
        <v>61.01838307994177</v>
      </c>
      <c r="F316" s="7">
        <f>D316-E316</f>
        <v/>
      </c>
      <c r="G316" s="7">
        <f>ABS(F316)</f>
        <v/>
      </c>
      <c r="H316" s="7">
        <f>F316^2</f>
        <v/>
      </c>
      <c r="I316" s="7" t="n">
        <v>85369</v>
      </c>
      <c r="J316" s="7" t="n">
        <v>25.19827326573637</v>
      </c>
      <c r="K316" s="7" t="n">
        <v>19.8</v>
      </c>
      <c r="L316" s="7" t="n">
        <v>22.5</v>
      </c>
    </row>
    <row r="317">
      <c r="A317" s="7" t="inlineStr">
        <is>
          <t>98665</t>
        </is>
      </c>
      <c r="B317" s="7" t="inlineStr">
        <is>
          <t>Vancouver</t>
        </is>
      </c>
      <c r="C317" s="7" t="inlineStr">
        <is>
          <t>Clark</t>
        </is>
      </c>
      <c r="D317" s="7" t="n">
        <v>67.85298519873608</v>
      </c>
      <c r="E317" s="7" t="n">
        <v>61.3614438408818</v>
      </c>
      <c r="F317" s="7">
        <f>D317-E317</f>
        <v/>
      </c>
      <c r="G317" s="7">
        <f>ABS(F317)</f>
        <v/>
      </c>
      <c r="H317" s="7">
        <f>F317^2</f>
        <v/>
      </c>
      <c r="I317" s="7" t="n">
        <v>88559</v>
      </c>
      <c r="J317" s="7" t="n">
        <v>28.38017628471644</v>
      </c>
      <c r="K317" s="7" t="n">
        <v>16.5</v>
      </c>
      <c r="L317" s="7" t="n">
        <v>24.6</v>
      </c>
    </row>
    <row r="318">
      <c r="A318" s="7" t="inlineStr">
        <is>
          <t>98671</t>
        </is>
      </c>
      <c r="B318" s="7" t="inlineStr">
        <is>
          <t>Washougal</t>
        </is>
      </c>
      <c r="C318" s="7" t="inlineStr">
        <is>
          <t>Clark</t>
        </is>
      </c>
      <c r="D318" s="7" t="n">
        <v>107.9796998164345</v>
      </c>
      <c r="E318" s="7" t="n">
        <v>85.09083717315764</v>
      </c>
      <c r="F318" s="7">
        <f>D318-E318</f>
        <v/>
      </c>
      <c r="G318" s="7">
        <f>ABS(F318)</f>
        <v/>
      </c>
      <c r="H318" s="7">
        <f>F318^2</f>
        <v/>
      </c>
      <c r="I318" s="7" t="n">
        <v>111545</v>
      </c>
      <c r="J318" s="7" t="n">
        <v>12.56883705863298</v>
      </c>
      <c r="K318" s="7" t="n">
        <v>21.8</v>
      </c>
      <c r="L318" s="7" t="n">
        <v>28</v>
      </c>
    </row>
    <row r="319">
      <c r="A319" s="7" t="inlineStr">
        <is>
          <t>98672</t>
        </is>
      </c>
      <c r="B319" s="7" t="inlineStr">
        <is>
          <t>White Salmon</t>
        </is>
      </c>
      <c r="C319" s="7" t="inlineStr">
        <is>
          <t>Klickitat</t>
        </is>
      </c>
      <c r="D319" s="7" t="n">
        <v>101.2809055704498</v>
      </c>
      <c r="E319" s="7" t="n">
        <v>76.25465469561578</v>
      </c>
      <c r="F319" s="7">
        <f>D319-E319</f>
        <v/>
      </c>
      <c r="G319" s="7">
        <f>ABS(F319)</f>
        <v/>
      </c>
      <c r="H319" s="7">
        <f>F319^2</f>
        <v/>
      </c>
      <c r="I319" s="7" t="n">
        <v>97622</v>
      </c>
      <c r="J319" s="7" t="n">
        <v>6.464104855525767</v>
      </c>
      <c r="K319" s="7" t="n">
        <v>26.9</v>
      </c>
      <c r="L319" s="7" t="n">
        <v>25.2</v>
      </c>
    </row>
    <row r="320">
      <c r="A320" s="7" t="inlineStr">
        <is>
          <t>98673</t>
        </is>
      </c>
      <c r="B320" s="7" t="inlineStr">
        <is>
          <t>Wishram</t>
        </is>
      </c>
      <c r="C320" s="7" t="inlineStr">
        <is>
          <t>Klickitat</t>
        </is>
      </c>
      <c r="D320" s="7" t="n">
        <v>12.04819277108434</v>
      </c>
      <c r="E320" s="7" t="n">
        <v>0.8190568690527371</v>
      </c>
      <c r="F320" s="7">
        <f>D320-E320</f>
        <v/>
      </c>
      <c r="G320" s="7">
        <f>ABS(F320)</f>
        <v/>
      </c>
      <c r="H320" s="7">
        <f>F320^2</f>
        <v/>
      </c>
      <c r="I320" s="7" t="n">
        <v>42188</v>
      </c>
      <c r="J320" s="7" t="n">
        <v>10.24096385542169</v>
      </c>
      <c r="K320" s="7" t="n">
        <v>7.8</v>
      </c>
      <c r="L320" s="7" t="n">
        <v>31.3</v>
      </c>
    </row>
    <row r="321">
      <c r="A321" s="7" t="inlineStr">
        <is>
          <t>98674</t>
        </is>
      </c>
      <c r="B321" s="7" t="inlineStr">
        <is>
          <t>Woodland</t>
        </is>
      </c>
      <c r="C321" s="7" t="inlineStr">
        <is>
          <t>Cowlitz</t>
        </is>
      </c>
      <c r="D321" s="7" t="n">
        <v>56.59745478901541</v>
      </c>
      <c r="E321" s="7" t="n">
        <v>57.48705013146552</v>
      </c>
      <c r="F321" s="7">
        <f>D321-E321</f>
        <v/>
      </c>
      <c r="G321" s="7">
        <f>ABS(F321)</f>
        <v/>
      </c>
      <c r="H321" s="7">
        <f>F321^2</f>
        <v/>
      </c>
      <c r="I321" s="7" t="n">
        <v>94245</v>
      </c>
      <c r="J321" s="7" t="n">
        <v>12.10649698593436</v>
      </c>
      <c r="K321" s="7" t="n">
        <v>11.4</v>
      </c>
      <c r="L321" s="7" t="n">
        <v>27.6</v>
      </c>
    </row>
    <row r="322">
      <c r="A322" s="7" t="inlineStr">
        <is>
          <t>98675</t>
        </is>
      </c>
      <c r="B322" s="7" t="inlineStr">
        <is>
          <t>Yacolt</t>
        </is>
      </c>
      <c r="C322" s="7" t="inlineStr">
        <is>
          <t>Clark</t>
        </is>
      </c>
      <c r="D322" s="7" t="n">
        <v>49.43820224719101</v>
      </c>
      <c r="E322" s="7" t="n">
        <v>61.97491185959411</v>
      </c>
      <c r="F322" s="7">
        <f>D322-E322</f>
        <v/>
      </c>
      <c r="G322" s="7">
        <f>ABS(F322)</f>
        <v/>
      </c>
      <c r="H322" s="7">
        <f>F322^2</f>
        <v/>
      </c>
      <c r="I322" s="7" t="n">
        <v>99877</v>
      </c>
      <c r="J322" s="7" t="n">
        <v>0.1348314606741573</v>
      </c>
      <c r="K322" s="7" t="n">
        <v>11.4</v>
      </c>
      <c r="L322" s="7" t="n">
        <v>42.6</v>
      </c>
    </row>
    <row r="323">
      <c r="A323" s="7" t="inlineStr">
        <is>
          <t>98682</t>
        </is>
      </c>
      <c r="B323" s="7" t="inlineStr">
        <is>
          <t>Vancouver</t>
        </is>
      </c>
      <c r="C323" s="7" t="inlineStr">
        <is>
          <t>Clark</t>
        </is>
      </c>
      <c r="D323" s="7" t="n">
        <v>76.63132137030995</v>
      </c>
      <c r="E323" s="7" t="n">
        <v>66.16034636188289</v>
      </c>
      <c r="F323" s="7">
        <f>D323-E323</f>
        <v/>
      </c>
      <c r="G323" s="7">
        <f>ABS(F323)</f>
        <v/>
      </c>
      <c r="H323" s="7">
        <f>F323^2</f>
        <v/>
      </c>
      <c r="I323" s="7" t="n">
        <v>99918</v>
      </c>
      <c r="J323" s="7" t="n">
        <v>17.65089722675367</v>
      </c>
      <c r="K323" s="7" t="n">
        <v>15.5</v>
      </c>
      <c r="L323" s="7" t="n">
        <v>24.4</v>
      </c>
    </row>
    <row r="324">
      <c r="A324" s="7" t="inlineStr">
        <is>
          <t>98683</t>
        </is>
      </c>
      <c r="B324" s="7" t="inlineStr">
        <is>
          <t>Vancouver</t>
        </is>
      </c>
      <c r="C324" s="7" t="inlineStr">
        <is>
          <t>Clark</t>
        </is>
      </c>
      <c r="D324" s="7" t="n">
        <v>78.25376285500238</v>
      </c>
      <c r="E324" s="7" t="n">
        <v>66.77289894098178</v>
      </c>
      <c r="F324" s="7">
        <f>D324-E324</f>
        <v/>
      </c>
      <c r="G324" s="7">
        <f>ABS(F324)</f>
        <v/>
      </c>
      <c r="H324" s="7">
        <f>F324^2</f>
        <v/>
      </c>
      <c r="I324" s="7" t="n">
        <v>87659</v>
      </c>
      <c r="J324" s="7" t="n">
        <v>36.30048355240755</v>
      </c>
      <c r="K324" s="7" t="n">
        <v>19.9</v>
      </c>
      <c r="L324" s="7" t="n">
        <v>27.5</v>
      </c>
    </row>
    <row r="325">
      <c r="A325" s="7" t="inlineStr">
        <is>
          <t>98684</t>
        </is>
      </c>
      <c r="B325" s="7" t="inlineStr">
        <is>
          <t>Vancouver</t>
        </is>
      </c>
      <c r="C325" s="7" t="inlineStr">
        <is>
          <t>Clark</t>
        </is>
      </c>
      <c r="D325" s="7" t="n">
        <v>59.23647790332286</v>
      </c>
      <c r="E325" s="7" t="n">
        <v>65.77228863728682</v>
      </c>
      <c r="F325" s="7">
        <f>D325-E325</f>
        <v/>
      </c>
      <c r="G325" s="7">
        <f>ABS(F325)</f>
        <v/>
      </c>
      <c r="H325" s="7">
        <f>F325^2</f>
        <v/>
      </c>
      <c r="I325" s="7" t="n">
        <v>90620</v>
      </c>
      <c r="J325" s="7" t="n">
        <v>32.38617369793408</v>
      </c>
      <c r="K325" s="7" t="n">
        <v>18.2</v>
      </c>
      <c r="L325" s="7" t="n">
        <v>22.1</v>
      </c>
    </row>
    <row r="326">
      <c r="A326" s="7" t="inlineStr">
        <is>
          <t>98685</t>
        </is>
      </c>
      <c r="B326" s="7" t="inlineStr">
        <is>
          <t>Vancouver</t>
        </is>
      </c>
      <c r="C326" s="7" t="inlineStr">
        <is>
          <t>Clark</t>
        </is>
      </c>
      <c r="D326" s="7" t="n">
        <v>111.4300185716698</v>
      </c>
      <c r="E326" s="7" t="n">
        <v>107.5948185604923</v>
      </c>
      <c r="F326" s="7">
        <f>D326-E326</f>
        <v/>
      </c>
      <c r="G326" s="7">
        <f>ABS(F326)</f>
        <v/>
      </c>
      <c r="H326" s="7">
        <f>F326^2</f>
        <v/>
      </c>
      <c r="I326" s="7" t="n">
        <v>130972</v>
      </c>
      <c r="J326" s="7" t="n">
        <v>7.707242951207159</v>
      </c>
      <c r="K326" s="7" t="n">
        <v>27.5</v>
      </c>
      <c r="L326" s="7" t="n">
        <v>23.4</v>
      </c>
    </row>
    <row r="327">
      <c r="A327" s="7" t="inlineStr">
        <is>
          <t>98686</t>
        </is>
      </c>
      <c r="B327" s="7" t="inlineStr">
        <is>
          <t>Vancouver</t>
        </is>
      </c>
      <c r="C327" s="7" t="inlineStr">
        <is>
          <t>Clark</t>
        </is>
      </c>
      <c r="D327" s="7" t="n">
        <v>117.1710063335679</v>
      </c>
      <c r="E327" s="7" t="n">
        <v>80.7849209070575</v>
      </c>
      <c r="F327" s="7">
        <f>D327-E327</f>
        <v/>
      </c>
      <c r="G327" s="7">
        <f>ABS(F327)</f>
        <v/>
      </c>
      <c r="H327" s="7">
        <f>F327^2</f>
        <v/>
      </c>
      <c r="I327" s="7" t="n">
        <v>107801</v>
      </c>
      <c r="J327" s="7" t="n">
        <v>17.32348111658457</v>
      </c>
      <c r="K327" s="7" t="n">
        <v>23</v>
      </c>
      <c r="L327" s="7" t="n">
        <v>23.3</v>
      </c>
    </row>
    <row r="328">
      <c r="A328" s="7" t="inlineStr">
        <is>
          <t>98801</t>
        </is>
      </c>
      <c r="B328" s="7" t="inlineStr">
        <is>
          <t>Wenatchee</t>
        </is>
      </c>
      <c r="C328" s="7" t="inlineStr">
        <is>
          <t>Chelan</t>
        </is>
      </c>
      <c r="D328" s="7" t="n">
        <v>44.16558018252933</v>
      </c>
      <c r="E328" s="7" t="n">
        <v>43.58296852541101</v>
      </c>
      <c r="F328" s="7">
        <f>D328-E328</f>
        <v/>
      </c>
      <c r="G328" s="7">
        <f>ABS(F328)</f>
        <v/>
      </c>
      <c r="H328" s="7">
        <f>F328^2</f>
        <v/>
      </c>
      <c r="I328" s="7" t="n">
        <v>81488</v>
      </c>
      <c r="J328" s="7" t="n">
        <v>26.92850934376358</v>
      </c>
      <c r="K328" s="7" t="n">
        <v>8</v>
      </c>
      <c r="L328" s="7" t="n">
        <v>17.9</v>
      </c>
    </row>
    <row r="329">
      <c r="A329" s="7" t="inlineStr">
        <is>
          <t>98802</t>
        </is>
      </c>
      <c r="B329" s="7" t="inlineStr">
        <is>
          <t>East Wenatchee</t>
        </is>
      </c>
      <c r="C329" s="7" t="inlineStr">
        <is>
          <t>Douglas</t>
        </is>
      </c>
      <c r="D329" s="7" t="n">
        <v>41.47068046409533</v>
      </c>
      <c r="E329" s="7" t="n">
        <v>46.36125074163479</v>
      </c>
      <c r="F329" s="7">
        <f>D329-E329</f>
        <v/>
      </c>
      <c r="G329" s="7">
        <f>ABS(F329)</f>
        <v/>
      </c>
      <c r="H329" s="7">
        <f>F329^2</f>
        <v/>
      </c>
      <c r="I329" s="7" t="n">
        <v>87744</v>
      </c>
      <c r="J329" s="7" t="n">
        <v>19.58294136092819</v>
      </c>
      <c r="K329" s="7" t="n">
        <v>7.8</v>
      </c>
      <c r="L329" s="7" t="n">
        <v>18.6</v>
      </c>
    </row>
    <row r="330">
      <c r="A330" s="7" t="inlineStr">
        <is>
          <t>98812</t>
        </is>
      </c>
      <c r="B330" s="7" t="inlineStr">
        <is>
          <t>Brewster</t>
        </is>
      </c>
      <c r="C330" s="7" t="inlineStr">
        <is>
          <t>Okanogan</t>
        </is>
      </c>
      <c r="D330" s="7" t="n">
        <v>17.92504073872895</v>
      </c>
      <c r="E330" s="7" t="n">
        <v>24.67472961076258</v>
      </c>
      <c r="F330" s="7">
        <f>D330-E330</f>
        <v/>
      </c>
      <c r="G330" s="7">
        <f>ABS(F330)</f>
        <v/>
      </c>
      <c r="H330" s="7">
        <f>F330^2</f>
        <v/>
      </c>
      <c r="I330" s="7" t="n">
        <v>59297</v>
      </c>
      <c r="J330" s="7" t="n">
        <v>20.31504617055948</v>
      </c>
      <c r="K330" s="7" t="n">
        <v>15.6</v>
      </c>
      <c r="L330" s="7" t="n">
        <v>17.9</v>
      </c>
    </row>
    <row r="331">
      <c r="A331" s="7" t="inlineStr">
        <is>
          <t>98813</t>
        </is>
      </c>
      <c r="B331" s="7" t="inlineStr">
        <is>
          <t>Bridgeport</t>
        </is>
      </c>
      <c r="C331" s="7" t="inlineStr">
        <is>
          <t>Douglas</t>
        </is>
      </c>
      <c r="D331" s="7" t="n">
        <v>4.761904761904763</v>
      </c>
      <c r="E331" s="7" t="n">
        <v>30.28454062575742</v>
      </c>
      <c r="F331" s="7">
        <f>D331-E331</f>
        <v/>
      </c>
      <c r="G331" s="7">
        <f>ABS(F331)</f>
        <v/>
      </c>
      <c r="H331" s="7">
        <f>F331^2</f>
        <v/>
      </c>
      <c r="I331" s="7" t="n">
        <v>49969</v>
      </c>
      <c r="J331" s="7" t="n">
        <v>7.142857142857142</v>
      </c>
      <c r="K331" s="7" t="n">
        <v>33.1</v>
      </c>
      <c r="L331" s="7" t="n">
        <v>22.3</v>
      </c>
    </row>
    <row r="332">
      <c r="A332" s="7" t="inlineStr">
        <is>
          <t>98814</t>
        </is>
      </c>
      <c r="B332" s="7" t="inlineStr">
        <is>
          <t>Carlton</t>
        </is>
      </c>
      <c r="C332" s="7" t="inlineStr">
        <is>
          <t>Okanogan</t>
        </is>
      </c>
      <c r="D332" s="7" t="n">
        <v>36.36363636363636</v>
      </c>
      <c r="E332" s="7" t="n">
        <v>44.1206583178328</v>
      </c>
      <c r="F332" s="7">
        <f>D332-E332</f>
        <v/>
      </c>
      <c r="G332" s="7">
        <f>ABS(F332)</f>
        <v/>
      </c>
      <c r="H332" s="7">
        <f>F332^2</f>
        <v/>
      </c>
      <c r="I332" s="7" t="n">
        <v>98715</v>
      </c>
      <c r="J332" s="7" t="n">
        <v>0</v>
      </c>
      <c r="K332" s="7" t="n">
        <v>0</v>
      </c>
      <c r="L332" s="7" t="n">
        <v>26.1</v>
      </c>
    </row>
    <row r="333">
      <c r="A333" s="7" t="inlineStr">
        <is>
          <t>98815</t>
        </is>
      </c>
      <c r="B333" s="7" t="inlineStr">
        <is>
          <t>Cashmere</t>
        </is>
      </c>
      <c r="C333" s="7" t="inlineStr">
        <is>
          <t>Chelan</t>
        </is>
      </c>
      <c r="D333" s="7" t="n">
        <v>43.47826086956522</v>
      </c>
      <c r="E333" s="7" t="n">
        <v>47.72355209047986</v>
      </c>
      <c r="F333" s="7">
        <f>D333-E333</f>
        <v/>
      </c>
      <c r="G333" s="7">
        <f>ABS(F333)</f>
        <v/>
      </c>
      <c r="H333" s="7">
        <f>F333^2</f>
        <v/>
      </c>
      <c r="I333" s="7" t="n">
        <v>88108</v>
      </c>
      <c r="J333" s="7" t="n">
        <v>13.99868247694335</v>
      </c>
      <c r="K333" s="7" t="n">
        <v>8.9</v>
      </c>
      <c r="L333" s="7" t="n">
        <v>26.1</v>
      </c>
    </row>
    <row r="334">
      <c r="A334" s="7" t="inlineStr">
        <is>
          <t>98816</t>
        </is>
      </c>
      <c r="B334" s="7" t="inlineStr">
        <is>
          <t>Chelan</t>
        </is>
      </c>
      <c r="C334" s="7" t="inlineStr">
        <is>
          <t>Chelan</t>
        </is>
      </c>
      <c r="D334" s="7" t="n">
        <v>47.72353263850795</v>
      </c>
      <c r="E334" s="7" t="n">
        <v>38.6811385232173</v>
      </c>
      <c r="F334" s="7">
        <f>D334-E334</f>
        <v/>
      </c>
      <c r="G334" s="7">
        <f>ABS(F334)</f>
        <v/>
      </c>
      <c r="H334" s="7">
        <f>F334^2</f>
        <v/>
      </c>
      <c r="I334" s="7" t="n">
        <v>82577</v>
      </c>
      <c r="J334" s="7" t="n">
        <v>18.52258182483087</v>
      </c>
      <c r="K334" s="7" t="n">
        <v>8</v>
      </c>
      <c r="L334" s="7" t="n">
        <v>16.3</v>
      </c>
    </row>
    <row r="335">
      <c r="A335" s="7" t="inlineStr">
        <is>
          <t>98819</t>
        </is>
      </c>
      <c r="B335" s="7" t="inlineStr">
        <is>
          <t>Conconully</t>
        </is>
      </c>
      <c r="C335" s="7" t="inlineStr">
        <is>
          <t>Okanogan</t>
        </is>
      </c>
      <c r="D335" s="7" t="n">
        <v>9.569377990430622</v>
      </c>
      <c r="E335" s="7" t="n">
        <v>6.599912076533535</v>
      </c>
      <c r="F335" s="7">
        <f>D335-E335</f>
        <v/>
      </c>
      <c r="G335" s="7">
        <f>ABS(F335)</f>
        <v/>
      </c>
      <c r="H335" s="7">
        <f>F335^2</f>
        <v/>
      </c>
      <c r="I335" s="7" t="n">
        <v>63000</v>
      </c>
      <c r="J335" s="7" t="n">
        <v>1.435406698564593</v>
      </c>
      <c r="K335" s="7" t="n">
        <v>0</v>
      </c>
      <c r="L335" s="7" t="n">
        <v>20.7</v>
      </c>
    </row>
    <row r="336">
      <c r="A336" s="7" t="inlineStr">
        <is>
          <t>98822</t>
        </is>
      </c>
      <c r="B336" s="7" t="inlineStr">
        <is>
          <t>Entiat</t>
        </is>
      </c>
      <c r="C336" s="7" t="inlineStr">
        <is>
          <t>Chelan</t>
        </is>
      </c>
      <c r="D336" s="7" t="n">
        <v>37.71849126034959</v>
      </c>
      <c r="E336" s="7" t="n">
        <v>47.67229436738624</v>
      </c>
      <c r="F336" s="7">
        <f>D336-E336</f>
        <v/>
      </c>
      <c r="G336" s="7">
        <f>ABS(F336)</f>
        <v/>
      </c>
      <c r="H336" s="7">
        <f>F336^2</f>
        <v/>
      </c>
      <c r="I336" s="7" t="n">
        <v>86103</v>
      </c>
      <c r="J336" s="7" t="n">
        <v>4.507819687212511</v>
      </c>
      <c r="K336" s="7" t="n">
        <v>11.4</v>
      </c>
      <c r="L336" s="7" t="n">
        <v>33.9</v>
      </c>
    </row>
    <row r="337">
      <c r="A337" s="7" t="inlineStr">
        <is>
          <t>98823</t>
        </is>
      </c>
      <c r="B337" s="7" t="inlineStr">
        <is>
          <t>Ephrata</t>
        </is>
      </c>
      <c r="C337" s="7" t="inlineStr">
        <is>
          <t>Grant</t>
        </is>
      </c>
      <c r="D337" s="7" t="n">
        <v>29.04121289771514</v>
      </c>
      <c r="E337" s="7" t="n">
        <v>28.38406981929204</v>
      </c>
      <c r="F337" s="7">
        <f>D337-E337</f>
        <v/>
      </c>
      <c r="G337" s="7">
        <f>ABS(F337)</f>
        <v/>
      </c>
      <c r="H337" s="7">
        <f>F337^2</f>
        <v/>
      </c>
      <c r="I337" s="7" t="n">
        <v>73074</v>
      </c>
      <c r="J337" s="7" t="n">
        <v>12.89771513986761</v>
      </c>
      <c r="K337" s="7" t="n">
        <v>7.1</v>
      </c>
      <c r="L337" s="7" t="n">
        <v>21</v>
      </c>
    </row>
    <row r="338">
      <c r="A338" s="7" t="inlineStr">
        <is>
          <t>98826</t>
        </is>
      </c>
      <c r="B338" s="7" t="inlineStr">
        <is>
          <t>Leavenworth</t>
        </is>
      </c>
      <c r="C338" s="7" t="inlineStr">
        <is>
          <t>Chelan</t>
        </is>
      </c>
      <c r="D338" s="7" t="n">
        <v>78.26671145448438</v>
      </c>
      <c r="E338" s="7" t="n">
        <v>65.60085527429371</v>
      </c>
      <c r="F338" s="7">
        <f>D338-E338</f>
        <v/>
      </c>
      <c r="G338" s="7">
        <f>ABS(F338)</f>
        <v/>
      </c>
      <c r="H338" s="7">
        <f>F338^2</f>
        <v/>
      </c>
      <c r="I338" s="7" t="n">
        <v>87646</v>
      </c>
      <c r="J338" s="7" t="n">
        <v>14.98152502519315</v>
      </c>
      <c r="K338" s="7" t="n">
        <v>25.1</v>
      </c>
      <c r="L338" s="7" t="n">
        <v>28.7</v>
      </c>
    </row>
    <row r="339">
      <c r="A339" s="7" t="inlineStr">
        <is>
          <t>98828</t>
        </is>
      </c>
      <c r="B339" s="7" t="inlineStr">
        <is>
          <t>Malaga</t>
        </is>
      </c>
      <c r="C339" s="7" t="inlineStr">
        <is>
          <t>Chelan</t>
        </is>
      </c>
      <c r="D339" s="7" t="n">
        <v>45.05494505494505</v>
      </c>
      <c r="E339" s="7" t="n">
        <v>14.64629285957319</v>
      </c>
      <c r="F339" s="7">
        <f>D339-E339</f>
        <v/>
      </c>
      <c r="G339" s="7">
        <f>ABS(F339)</f>
        <v/>
      </c>
      <c r="H339" s="7">
        <f>F339^2</f>
        <v/>
      </c>
      <c r="I339" s="7" t="n">
        <v>70197</v>
      </c>
      <c r="J339" s="7" t="n">
        <v>4.285714285714286</v>
      </c>
      <c r="K339" s="7" t="n">
        <v>0</v>
      </c>
      <c r="L339" s="7" t="n">
        <v>24.1</v>
      </c>
    </row>
    <row r="340">
      <c r="A340" s="7" t="inlineStr">
        <is>
          <t>98829</t>
        </is>
      </c>
      <c r="B340" s="7" t="inlineStr">
        <is>
          <t>Malott</t>
        </is>
      </c>
      <c r="C340" s="7" t="inlineStr">
        <is>
          <t>Okanogan</t>
        </is>
      </c>
      <c r="D340" s="7" t="n">
        <v>4.807692307692308</v>
      </c>
      <c r="E340" s="7" t="n">
        <v>-4.084122981997524</v>
      </c>
      <c r="F340" s="7">
        <f>D340-E340</f>
        <v/>
      </c>
      <c r="G340" s="7">
        <f>ABS(F340)</f>
        <v/>
      </c>
      <c r="H340" s="7">
        <f>F340^2</f>
        <v/>
      </c>
      <c r="I340" s="7" t="n">
        <v>36875</v>
      </c>
      <c r="J340" s="7" t="n">
        <v>8.173076923076923</v>
      </c>
      <c r="K340" s="7" t="n">
        <v>13.4</v>
      </c>
      <c r="L340" s="7" t="n">
        <v>16.9</v>
      </c>
    </row>
    <row r="341">
      <c r="A341" s="7" t="inlineStr">
        <is>
          <t>98830</t>
        </is>
      </c>
      <c r="B341" s="7" t="inlineStr">
        <is>
          <t>Mansfield</t>
        </is>
      </c>
      <c r="C341" s="7" t="inlineStr">
        <is>
          <t>Douglas</t>
        </is>
      </c>
      <c r="D341" s="7" t="n">
        <v>14.33691756272401</v>
      </c>
      <c r="E341" s="7" t="n">
        <v>41.99149273364161</v>
      </c>
      <c r="F341" s="7">
        <f>D341-E341</f>
        <v/>
      </c>
      <c r="G341" s="7">
        <f>ABS(F341)</f>
        <v/>
      </c>
      <c r="H341" s="7">
        <f>F341^2</f>
        <v/>
      </c>
      <c r="I341" s="7" t="n">
        <v>83125</v>
      </c>
      <c r="J341" s="7" t="n">
        <v>2.867383512544803</v>
      </c>
      <c r="K341" s="7" t="n">
        <v>11.2</v>
      </c>
      <c r="L341" s="7" t="n">
        <v>25.3</v>
      </c>
    </row>
    <row r="342">
      <c r="A342" s="7" t="inlineStr">
        <is>
          <t>98831</t>
        </is>
      </c>
      <c r="B342" s="7" t="inlineStr">
        <is>
          <t>Manson</t>
        </is>
      </c>
      <c r="C342" s="7" t="inlineStr">
        <is>
          <t>Chelan</t>
        </is>
      </c>
      <c r="D342" s="7" t="n">
        <v>54.5045045045045</v>
      </c>
      <c r="E342" s="7" t="n">
        <v>35.88619115699168</v>
      </c>
      <c r="F342" s="7">
        <f>D342-E342</f>
        <v/>
      </c>
      <c r="G342" s="7">
        <f>ABS(F342)</f>
        <v/>
      </c>
      <c r="H342" s="7">
        <f>F342^2</f>
        <v/>
      </c>
      <c r="I342" s="7" t="n">
        <v>82650</v>
      </c>
      <c r="J342" s="7" t="n">
        <v>7.612612612612613</v>
      </c>
      <c r="K342" s="7" t="n">
        <v>8.800000000000001</v>
      </c>
      <c r="L342" s="7" t="n">
        <v>16.8</v>
      </c>
    </row>
    <row r="343">
      <c r="A343" s="7" t="inlineStr">
        <is>
          <t>98832</t>
        </is>
      </c>
      <c r="B343" s="7" t="inlineStr">
        <is>
          <t>Marlin</t>
        </is>
      </c>
      <c r="C343" s="7" t="inlineStr">
        <is>
          <t>Grant</t>
        </is>
      </c>
      <c r="D343" s="7" t="n">
        <v>107.6923076923077</v>
      </c>
      <c r="E343" s="7" t="n">
        <v>-16.66507093937354</v>
      </c>
      <c r="F343" s="7">
        <f>D343-E343</f>
        <v/>
      </c>
      <c r="G343" s="7">
        <f>ABS(F343)</f>
        <v/>
      </c>
      <c r="H343" s="7">
        <f>F343^2</f>
        <v/>
      </c>
      <c r="I343" s="7" t="n">
        <v>31964</v>
      </c>
      <c r="J343" s="7" t="n">
        <v>0</v>
      </c>
      <c r="K343" s="7" t="n">
        <v>0</v>
      </c>
      <c r="L343" s="7" t="n">
        <v>51.6</v>
      </c>
    </row>
    <row r="344">
      <c r="A344" s="7" t="inlineStr">
        <is>
          <t>98833</t>
        </is>
      </c>
      <c r="B344" s="7" t="inlineStr">
        <is>
          <t>Mazama</t>
        </is>
      </c>
      <c r="C344" s="7" t="inlineStr">
        <is>
          <t>Okanogan</t>
        </is>
      </c>
      <c r="D344" s="7" t="n">
        <v>68.70229007633588</v>
      </c>
      <c r="E344" s="7" t="n">
        <v>121.1276445880447</v>
      </c>
      <c r="F344" s="7">
        <f>D344-E344</f>
        <v/>
      </c>
      <c r="G344" s="7">
        <f>ABS(F344)</f>
        <v/>
      </c>
      <c r="H344" s="7">
        <f>F344^2</f>
        <v/>
      </c>
      <c r="I344" s="7" t="n">
        <v>117639</v>
      </c>
      <c r="J344" s="7" t="n">
        <v>0</v>
      </c>
      <c r="K344" s="7" t="n">
        <v>48.3</v>
      </c>
      <c r="L344" s="7" t="n">
        <v>29.8</v>
      </c>
    </row>
    <row r="345">
      <c r="A345" s="7" t="inlineStr">
        <is>
          <t>98834</t>
        </is>
      </c>
      <c r="B345" s="7" t="inlineStr">
        <is>
          <t>Methow</t>
        </is>
      </c>
      <c r="C345" s="7" t="inlineStr">
        <is>
          <t>Okanogan</t>
        </is>
      </c>
      <c r="D345" s="7" t="n">
        <v>43.47826086956522</v>
      </c>
      <c r="E345" s="7" t="n">
        <v>23.98535656267043</v>
      </c>
      <c r="F345" s="7">
        <f>D345-E345</f>
        <v/>
      </c>
      <c r="G345" s="7">
        <f>ABS(F345)</f>
        <v/>
      </c>
      <c r="H345" s="7">
        <f>F345^2</f>
        <v/>
      </c>
      <c r="I345" s="7" t="n">
        <v>71667</v>
      </c>
      <c r="J345" s="7" t="n">
        <v>0</v>
      </c>
      <c r="K345" s="7" t="n">
        <v>5.5</v>
      </c>
      <c r="L345" s="7" t="n">
        <v>29.6</v>
      </c>
    </row>
    <row r="346">
      <c r="A346" s="7" t="inlineStr">
        <is>
          <t>98837</t>
        </is>
      </c>
      <c r="B346" s="7" t="inlineStr">
        <is>
          <t>Moses Lake</t>
        </is>
      </c>
      <c r="C346" s="7" t="inlineStr">
        <is>
          <t>Grant</t>
        </is>
      </c>
      <c r="D346" s="7" t="n">
        <v>33.90446521287642</v>
      </c>
      <c r="E346" s="7" t="n">
        <v>35.41970727304313</v>
      </c>
      <c r="F346" s="7">
        <f>D346-E346</f>
        <v/>
      </c>
      <c r="G346" s="7">
        <f>ABS(F346)</f>
        <v/>
      </c>
      <c r="H346" s="7">
        <f>F346^2</f>
        <v/>
      </c>
      <c r="I346" s="7" t="n">
        <v>74586</v>
      </c>
      <c r="J346" s="7" t="n">
        <v>18.62409138110073</v>
      </c>
      <c r="K346" s="7" t="n">
        <v>11.2</v>
      </c>
      <c r="L346" s="7" t="n">
        <v>19.5</v>
      </c>
    </row>
    <row r="347">
      <c r="A347" s="7" t="inlineStr">
        <is>
          <t>98840</t>
        </is>
      </c>
      <c r="B347" s="7" t="inlineStr">
        <is>
          <t>Okanogan</t>
        </is>
      </c>
      <c r="C347" s="7" t="inlineStr">
        <is>
          <t>Okanogan</t>
        </is>
      </c>
      <c r="D347" s="7" t="n">
        <v>7.158836689038032</v>
      </c>
      <c r="E347" s="7" t="n">
        <v>7.614127215225864</v>
      </c>
      <c r="F347" s="7">
        <f>D347-E347</f>
        <v/>
      </c>
      <c r="G347" s="7">
        <f>ABS(F347)</f>
        <v/>
      </c>
      <c r="H347" s="7">
        <f>F347^2</f>
        <v/>
      </c>
      <c r="I347" s="7" t="n">
        <v>57342</v>
      </c>
      <c r="J347" s="7" t="n">
        <v>4.161073825503355</v>
      </c>
      <c r="K347" s="7" t="n">
        <v>7.2</v>
      </c>
      <c r="L347" s="7" t="n">
        <v>17.8</v>
      </c>
    </row>
    <row r="348">
      <c r="A348" s="7" t="inlineStr">
        <is>
          <t>98841</t>
        </is>
      </c>
      <c r="B348" s="7" t="inlineStr">
        <is>
          <t>Omak</t>
        </is>
      </c>
      <c r="C348" s="7" t="inlineStr">
        <is>
          <t>Okanogan</t>
        </is>
      </c>
      <c r="D348" s="7" t="n">
        <v>9.51055439573185</v>
      </c>
      <c r="E348" s="7" t="n">
        <v>35.15816144089957</v>
      </c>
      <c r="F348" s="7">
        <f>D348-E348</f>
        <v/>
      </c>
      <c r="G348" s="7">
        <f>ABS(F348)</f>
        <v/>
      </c>
      <c r="H348" s="7">
        <f>F348^2</f>
        <v/>
      </c>
      <c r="I348" s="7" t="n">
        <v>71809</v>
      </c>
      <c r="J348" s="7" t="n">
        <v>13.43075852470425</v>
      </c>
      <c r="K348" s="7" t="n">
        <v>15.2</v>
      </c>
      <c r="L348" s="7" t="n">
        <v>16</v>
      </c>
    </row>
    <row r="349">
      <c r="A349" s="7" t="inlineStr">
        <is>
          <t>98843</t>
        </is>
      </c>
      <c r="B349" s="7" t="inlineStr">
        <is>
          <t>Orondo</t>
        </is>
      </c>
      <c r="C349" s="7" t="inlineStr">
        <is>
          <t>Douglas</t>
        </is>
      </c>
      <c r="D349" s="7" t="n">
        <v>50.98789037603569</v>
      </c>
      <c r="E349" s="7" t="n">
        <v>27.03264981950896</v>
      </c>
      <c r="F349" s="7">
        <f>D349-E349</f>
        <v/>
      </c>
      <c r="G349" s="7">
        <f>ABS(F349)</f>
        <v/>
      </c>
      <c r="H349" s="7">
        <f>F349^2</f>
        <v/>
      </c>
      <c r="I349" s="7" t="n">
        <v>69425</v>
      </c>
      <c r="J349" s="7" t="n">
        <v>5.544933078393881</v>
      </c>
      <c r="K349" s="7" t="n">
        <v>12.1</v>
      </c>
      <c r="L349" s="7" t="n">
        <v>20.8</v>
      </c>
    </row>
    <row r="350">
      <c r="A350" s="7" t="inlineStr">
        <is>
          <t>98844</t>
        </is>
      </c>
      <c r="B350" s="7" t="inlineStr">
        <is>
          <t>Oroville</t>
        </is>
      </c>
      <c r="C350" s="7" t="inlineStr">
        <is>
          <t>Okanogan</t>
        </is>
      </c>
      <c r="D350" s="7" t="n">
        <v>10.61359867330017</v>
      </c>
      <c r="E350" s="7" t="n">
        <v>2.079450669067505</v>
      </c>
      <c r="F350" s="7">
        <f>D350-E350</f>
        <v/>
      </c>
      <c r="G350" s="7">
        <f>ABS(F350)</f>
        <v/>
      </c>
      <c r="H350" s="7">
        <f>F350^2</f>
        <v/>
      </c>
      <c r="I350" s="7" t="n">
        <v>44201</v>
      </c>
      <c r="J350" s="7" t="n">
        <v>7.595356550580432</v>
      </c>
      <c r="K350" s="7" t="n">
        <v>12.5</v>
      </c>
      <c r="L350" s="7" t="n">
        <v>19.6</v>
      </c>
    </row>
    <row r="351">
      <c r="A351" s="7" t="inlineStr">
        <is>
          <t>98845</t>
        </is>
      </c>
      <c r="B351" s="7" t="inlineStr">
        <is>
          <t>Palisades</t>
        </is>
      </c>
      <c r="C351" s="7" t="inlineStr">
        <is>
          <t>Douglas</t>
        </is>
      </c>
      <c r="D351" s="7" t="n">
        <v>129.6296296296296</v>
      </c>
      <c r="E351" s="7" t="n">
        <v>26.70710503288437</v>
      </c>
      <c r="F351" s="7">
        <f>D351-E351</f>
        <v/>
      </c>
      <c r="G351" s="7">
        <f>ABS(F351)</f>
        <v/>
      </c>
      <c r="H351" s="7">
        <f>F351^2</f>
        <v/>
      </c>
      <c r="I351" s="7" t="n">
        <v>56250</v>
      </c>
      <c r="J351" s="7" t="n">
        <v>0</v>
      </c>
      <c r="K351" s="7" t="n">
        <v>24.5</v>
      </c>
      <c r="L351" s="7" t="n">
        <v>29</v>
      </c>
    </row>
    <row r="352">
      <c r="A352" s="7" t="inlineStr">
        <is>
          <t>98846</t>
        </is>
      </c>
      <c r="B352" s="7" t="inlineStr">
        <is>
          <t>Pateros</t>
        </is>
      </c>
      <c r="C352" s="7" t="inlineStr">
        <is>
          <t>Okanogan</t>
        </is>
      </c>
      <c r="D352" s="7" t="n">
        <v>22.0125786163522</v>
      </c>
      <c r="E352" s="7" t="n">
        <v>45.95443752920693</v>
      </c>
      <c r="F352" s="7">
        <f>D352-E352</f>
        <v/>
      </c>
      <c r="G352" s="7">
        <f>ABS(F352)</f>
        <v/>
      </c>
      <c r="H352" s="7">
        <f>F352^2</f>
        <v/>
      </c>
      <c r="I352" s="7" t="n">
        <v>84464</v>
      </c>
      <c r="J352" s="7" t="n">
        <v>0</v>
      </c>
      <c r="K352" s="7" t="n">
        <v>14.8</v>
      </c>
      <c r="L352" s="7" t="n">
        <v>22.9</v>
      </c>
    </row>
    <row r="353">
      <c r="A353" s="7" t="inlineStr">
        <is>
          <t>98847</t>
        </is>
      </c>
      <c r="B353" s="7" t="inlineStr">
        <is>
          <t>Peshastin</t>
        </is>
      </c>
      <c r="C353" s="7" t="inlineStr">
        <is>
          <t>Chelan</t>
        </is>
      </c>
      <c r="D353" s="7" t="n">
        <v>27.05223880597015</v>
      </c>
      <c r="E353" s="7" t="n">
        <v>31.93798550434014</v>
      </c>
      <c r="F353" s="7">
        <f>D353-E353</f>
        <v/>
      </c>
      <c r="G353" s="7">
        <f>ABS(F353)</f>
        <v/>
      </c>
      <c r="H353" s="7">
        <f>F353^2</f>
        <v/>
      </c>
      <c r="I353" s="7" t="n">
        <v>68814</v>
      </c>
      <c r="J353" s="7" t="n">
        <v>20.24253731343283</v>
      </c>
      <c r="K353" s="7" t="n">
        <v>11.4</v>
      </c>
      <c r="L353" s="7" t="n">
        <v>20.8</v>
      </c>
    </row>
    <row r="354">
      <c r="A354" s="7" t="inlineStr">
        <is>
          <t>98848</t>
        </is>
      </c>
      <c r="B354" s="7" t="inlineStr">
        <is>
          <t>Quincy</t>
        </is>
      </c>
      <c r="C354" s="7" t="inlineStr">
        <is>
          <t>Grant</t>
        </is>
      </c>
      <c r="D354" s="7" t="n">
        <v>33.3158904587476</v>
      </c>
      <c r="E354" s="7" t="n">
        <v>41.33566153094485</v>
      </c>
      <c r="F354" s="7">
        <f>D354-E354</f>
        <v/>
      </c>
      <c r="G354" s="7">
        <f>ABS(F354)</f>
        <v/>
      </c>
      <c r="H354" s="7">
        <f>F354^2</f>
        <v/>
      </c>
      <c r="I354" s="7" t="n">
        <v>87714</v>
      </c>
      <c r="J354" s="7" t="n">
        <v>10.65759637188209</v>
      </c>
      <c r="K354" s="7" t="n">
        <v>6.9</v>
      </c>
      <c r="L354" s="7" t="n">
        <v>19.5</v>
      </c>
    </row>
    <row r="355">
      <c r="A355" s="7" t="inlineStr">
        <is>
          <t>98849</t>
        </is>
      </c>
      <c r="B355" s="7" t="inlineStr">
        <is>
          <t>Riverside</t>
        </is>
      </c>
      <c r="C355" s="7" t="inlineStr">
        <is>
          <t>Okanogan</t>
        </is>
      </c>
      <c r="D355" s="7" t="n">
        <v>3.081664098613251</v>
      </c>
      <c r="E355" s="7" t="n">
        <v>43.02289449662518</v>
      </c>
      <c r="F355" s="7">
        <f>D355-E355</f>
        <v/>
      </c>
      <c r="G355" s="7">
        <f>ABS(F355)</f>
        <v/>
      </c>
      <c r="H355" s="7">
        <f>F355^2</f>
        <v/>
      </c>
      <c r="I355" s="7" t="n">
        <v>63875</v>
      </c>
      <c r="J355" s="7" t="n">
        <v>1.078582434514638</v>
      </c>
      <c r="K355" s="7" t="n">
        <v>26.2</v>
      </c>
      <c r="L355" s="7" t="n">
        <v>36.4</v>
      </c>
    </row>
    <row r="356">
      <c r="A356" s="7" t="inlineStr">
        <is>
          <t>98850</t>
        </is>
      </c>
      <c r="B356" s="7" t="inlineStr">
        <is>
          <t>Rock Island</t>
        </is>
      </c>
      <c r="C356" s="7" t="inlineStr">
        <is>
          <t>Douglas</t>
        </is>
      </c>
      <c r="D356" s="7" t="n">
        <v>37.9746835443038</v>
      </c>
      <c r="E356" s="7" t="n">
        <v>36.10356299107116</v>
      </c>
      <c r="F356" s="7">
        <f>D356-E356</f>
        <v/>
      </c>
      <c r="G356" s="7">
        <f>ABS(F356)</f>
        <v/>
      </c>
      <c r="H356" s="7">
        <f>F356^2</f>
        <v/>
      </c>
      <c r="I356" s="7" t="n">
        <v>83125</v>
      </c>
      <c r="J356" s="7" t="n">
        <v>2.109704641350211</v>
      </c>
      <c r="K356" s="7" t="n">
        <v>5.6</v>
      </c>
      <c r="L356" s="7" t="n">
        <v>30.2</v>
      </c>
    </row>
    <row r="357">
      <c r="A357" s="7" t="inlineStr">
        <is>
          <t>98851</t>
        </is>
      </c>
      <c r="B357" s="7" t="inlineStr">
        <is>
          <t>Soap Lake</t>
        </is>
      </c>
      <c r="C357" s="7" t="inlineStr">
        <is>
          <t>Grant</t>
        </is>
      </c>
      <c r="D357" s="7" t="n">
        <v>26.95956065901148</v>
      </c>
      <c r="E357" s="7" t="n">
        <v>24.85117464505802</v>
      </c>
      <c r="F357" s="7">
        <f>D357-E357</f>
        <v/>
      </c>
      <c r="G357" s="7">
        <f>ABS(F357)</f>
        <v/>
      </c>
      <c r="H357" s="7">
        <f>F357^2</f>
        <v/>
      </c>
      <c r="I357" s="7" t="n">
        <v>63333</v>
      </c>
      <c r="J357" s="7" t="n">
        <v>14.22865701447828</v>
      </c>
      <c r="K357" s="7" t="n">
        <v>11.2</v>
      </c>
      <c r="L357" s="7" t="n">
        <v>23.7</v>
      </c>
    </row>
    <row r="358">
      <c r="A358" s="7" t="inlineStr">
        <is>
          <t>98855</t>
        </is>
      </c>
      <c r="B358" s="7" t="inlineStr">
        <is>
          <t>Tonasket</t>
        </is>
      </c>
      <c r="C358" s="7" t="inlineStr">
        <is>
          <t>Okanogan</t>
        </is>
      </c>
      <c r="D358" s="7" t="n">
        <v>10.46236922038475</v>
      </c>
      <c r="E358" s="7" t="n">
        <v>16.40457856522163</v>
      </c>
      <c r="F358" s="7">
        <f>D358-E358</f>
        <v/>
      </c>
      <c r="G358" s="7">
        <f>ABS(F358)</f>
        <v/>
      </c>
      <c r="H358" s="7">
        <f>F358^2</f>
        <v/>
      </c>
      <c r="I358" s="7" t="n">
        <v>60179</v>
      </c>
      <c r="J358" s="7" t="n">
        <v>6.547418157273034</v>
      </c>
      <c r="K358" s="7" t="n">
        <v>11</v>
      </c>
      <c r="L358" s="7" t="n">
        <v>18.7</v>
      </c>
    </row>
    <row r="359">
      <c r="A359" s="7" t="inlineStr">
        <is>
          <t>98856</t>
        </is>
      </c>
      <c r="B359" s="7" t="inlineStr">
        <is>
          <t>Twisp</t>
        </is>
      </c>
      <c r="C359" s="7" t="inlineStr">
        <is>
          <t>Okanogan</t>
        </is>
      </c>
      <c r="D359" s="7" t="n">
        <v>44.95747266099635</v>
      </c>
      <c r="E359" s="7" t="n">
        <v>28.00883560030164</v>
      </c>
      <c r="F359" s="7">
        <f>D359-E359</f>
        <v/>
      </c>
      <c r="G359" s="7">
        <f>ABS(F359)</f>
        <v/>
      </c>
      <c r="H359" s="7">
        <f>F359^2</f>
        <v/>
      </c>
      <c r="I359" s="7" t="n">
        <v>70089</v>
      </c>
      <c r="J359" s="7" t="n">
        <v>6.196840826245444</v>
      </c>
      <c r="K359" s="7" t="n">
        <v>11.8</v>
      </c>
      <c r="L359" s="7" t="n">
        <v>15.5</v>
      </c>
    </row>
    <row r="360">
      <c r="A360" s="7" t="inlineStr">
        <is>
          <t>98857</t>
        </is>
      </c>
      <c r="B360" s="7" t="inlineStr">
        <is>
          <t>Warden</t>
        </is>
      </c>
      <c r="C360" s="7" t="inlineStr">
        <is>
          <t>Grant</t>
        </is>
      </c>
      <c r="D360" s="7" t="n">
        <v>20.86438152011923</v>
      </c>
      <c r="E360" s="7" t="n">
        <v>12.95093946290861</v>
      </c>
      <c r="F360" s="7">
        <f>D360-E360</f>
        <v/>
      </c>
      <c r="G360" s="7">
        <f>ABS(F360)</f>
        <v/>
      </c>
      <c r="H360" s="7">
        <f>F360^2</f>
        <v/>
      </c>
      <c r="I360" s="7" t="n">
        <v>61860</v>
      </c>
      <c r="J360" s="7" t="n">
        <v>12.29508196721311</v>
      </c>
      <c r="K360" s="7" t="n">
        <v>4</v>
      </c>
      <c r="L360" s="7" t="n">
        <v>17.8</v>
      </c>
    </row>
    <row r="361">
      <c r="A361" s="7" t="inlineStr">
        <is>
          <t>98858</t>
        </is>
      </c>
      <c r="B361" s="7" t="inlineStr">
        <is>
          <t>Waterville</t>
        </is>
      </c>
      <c r="C361" s="7" t="inlineStr">
        <is>
          <t>Douglas</t>
        </is>
      </c>
      <c r="D361" s="7" t="n">
        <v>14.85714285714286</v>
      </c>
      <c r="E361" s="7" t="n">
        <v>41.20499778120237</v>
      </c>
      <c r="F361" s="7">
        <f>D361-E361</f>
        <v/>
      </c>
      <c r="G361" s="7">
        <f>ABS(F361)</f>
        <v/>
      </c>
      <c r="H361" s="7">
        <f>F361^2</f>
        <v/>
      </c>
      <c r="I361" s="7" t="n">
        <v>78669</v>
      </c>
      <c r="J361" s="7" t="n">
        <v>1.485714285714286</v>
      </c>
      <c r="K361" s="7" t="n">
        <v>13.2</v>
      </c>
      <c r="L361" s="7" t="n">
        <v>29.9</v>
      </c>
    </row>
    <row r="362">
      <c r="A362" s="7" t="inlineStr">
        <is>
          <t>98860</t>
        </is>
      </c>
      <c r="B362" s="7" t="inlineStr">
        <is>
          <t>Wilson Creek</t>
        </is>
      </c>
      <c r="C362" s="7" t="inlineStr">
        <is>
          <t>Grant</t>
        </is>
      </c>
      <c r="D362" s="7" t="n">
        <v>7.092198581560283</v>
      </c>
      <c r="E362" s="7" t="n">
        <v>19.98887806037357</v>
      </c>
      <c r="F362" s="7">
        <f>D362-E362</f>
        <v/>
      </c>
      <c r="G362" s="7">
        <f>ABS(F362)</f>
        <v/>
      </c>
      <c r="H362" s="7">
        <f>F362^2</f>
        <v/>
      </c>
      <c r="I362" s="7" t="n">
        <v>62500</v>
      </c>
      <c r="J362" s="7" t="n">
        <v>2.127659574468085</v>
      </c>
      <c r="K362" s="7" t="n">
        <v>5.6</v>
      </c>
      <c r="L362" s="7" t="n">
        <v>38.8</v>
      </c>
    </row>
    <row r="363">
      <c r="A363" s="7" t="inlineStr">
        <is>
          <t>98862</t>
        </is>
      </c>
      <c r="B363" s="7" t="inlineStr">
        <is>
          <t>Winthrop</t>
        </is>
      </c>
      <c r="C363" s="7" t="inlineStr">
        <is>
          <t>Okanogan</t>
        </is>
      </c>
      <c r="D363" s="7" t="n">
        <v>79.53488372093024</v>
      </c>
      <c r="E363" s="7" t="n">
        <v>39.62609025274731</v>
      </c>
      <c r="F363" s="7">
        <f>D363-E363</f>
        <v/>
      </c>
      <c r="G363" s="7">
        <f>ABS(F363)</f>
        <v/>
      </c>
      <c r="H363" s="7">
        <f>F363^2</f>
        <v/>
      </c>
      <c r="I363" s="7" t="n">
        <v>71080</v>
      </c>
      <c r="J363" s="7" t="n">
        <v>2.558139534883721</v>
      </c>
      <c r="K363" s="7" t="n">
        <v>26.2</v>
      </c>
      <c r="L363" s="7" t="n">
        <v>15.9</v>
      </c>
    </row>
    <row r="364">
      <c r="A364" s="7" t="inlineStr">
        <is>
          <t>98901</t>
        </is>
      </c>
      <c r="B364" s="7" t="inlineStr">
        <is>
          <t>Yakima</t>
        </is>
      </c>
      <c r="C364" s="7" t="inlineStr">
        <is>
          <t>Yakima</t>
        </is>
      </c>
      <c r="D364" s="7" t="n">
        <v>19.25913784625471</v>
      </c>
      <c r="E364" s="7" t="n">
        <v>20.55127017012542</v>
      </c>
      <c r="F364" s="7">
        <f>D364-E364</f>
        <v/>
      </c>
      <c r="G364" s="7">
        <f>ABS(F364)</f>
        <v/>
      </c>
      <c r="H364" s="7">
        <f>F364^2</f>
        <v/>
      </c>
      <c r="I364" s="7" t="n">
        <v>57392</v>
      </c>
      <c r="J364" s="7" t="n">
        <v>32.75692509424685</v>
      </c>
      <c r="K364" s="7" t="n">
        <v>7.6</v>
      </c>
      <c r="L364" s="7" t="n">
        <v>19.3</v>
      </c>
    </row>
    <row r="365">
      <c r="A365" s="7" t="inlineStr">
        <is>
          <t>98902</t>
        </is>
      </c>
      <c r="B365" s="7" t="inlineStr">
        <is>
          <t>Yakima</t>
        </is>
      </c>
      <c r="C365" s="7" t="inlineStr">
        <is>
          <t>Yakima</t>
        </is>
      </c>
      <c r="D365" s="7" t="n">
        <v>16.61370351786809</v>
      </c>
      <c r="E365" s="7" t="n">
        <v>21.56355007661396</v>
      </c>
      <c r="F365" s="7">
        <f>D365-E365</f>
        <v/>
      </c>
      <c r="G365" s="7">
        <f>ABS(F365)</f>
        <v/>
      </c>
      <c r="H365" s="7">
        <f>F365^2</f>
        <v/>
      </c>
      <c r="I365" s="7" t="n">
        <v>63092</v>
      </c>
      <c r="J365" s="7" t="n">
        <v>31.05313040084741</v>
      </c>
      <c r="K365" s="7" t="n">
        <v>7.3</v>
      </c>
      <c r="L365" s="7" t="n">
        <v>17.5</v>
      </c>
    </row>
    <row r="366">
      <c r="A366" s="7" t="inlineStr">
        <is>
          <t>98903</t>
        </is>
      </c>
      <c r="B366" s="7" t="inlineStr">
        <is>
          <t>Yakima</t>
        </is>
      </c>
      <c r="C366" s="7" t="inlineStr">
        <is>
          <t>Yakima</t>
        </is>
      </c>
      <c r="D366" s="7" t="n">
        <v>27.49445676274945</v>
      </c>
      <c r="E366" s="7" t="n">
        <v>32.50962545970879</v>
      </c>
      <c r="F366" s="7">
        <f>D366-E366</f>
        <v/>
      </c>
      <c r="G366" s="7">
        <f>ABS(F366)</f>
        <v/>
      </c>
      <c r="H366" s="7">
        <f>F366^2</f>
        <v/>
      </c>
      <c r="I366" s="7" t="n">
        <v>75343</v>
      </c>
      <c r="J366" s="7" t="n">
        <v>2.897265336289727</v>
      </c>
      <c r="K366" s="7" t="n">
        <v>10.9</v>
      </c>
      <c r="L366" s="7" t="n">
        <v>20.8</v>
      </c>
    </row>
    <row r="367">
      <c r="A367" s="7" t="inlineStr">
        <is>
          <t>98908</t>
        </is>
      </c>
      <c r="B367" s="7" t="inlineStr">
        <is>
          <t>Yakima</t>
        </is>
      </c>
      <c r="C367" s="7" t="inlineStr">
        <is>
          <t>Yakima</t>
        </is>
      </c>
      <c r="D367" s="7" t="n">
        <v>41.16002340854412</v>
      </c>
      <c r="E367" s="7" t="n">
        <v>43.0971000378007</v>
      </c>
      <c r="F367" s="7">
        <f>D367-E367</f>
        <v/>
      </c>
      <c r="G367" s="7">
        <f>ABS(F367)</f>
        <v/>
      </c>
      <c r="H367" s="7">
        <f>F367^2</f>
        <v/>
      </c>
      <c r="I367" s="7" t="n">
        <v>84197</v>
      </c>
      <c r="J367" s="7" t="n">
        <v>19.68918655309188</v>
      </c>
      <c r="K367" s="7" t="n">
        <v>8</v>
      </c>
      <c r="L367" s="7" t="n">
        <v>18.9</v>
      </c>
    </row>
    <row r="368">
      <c r="A368" s="7" t="inlineStr">
        <is>
          <t>98922</t>
        </is>
      </c>
      <c r="B368" s="7" t="inlineStr">
        <is>
          <t>Cle Elum</t>
        </is>
      </c>
      <c r="C368" s="7" t="inlineStr">
        <is>
          <t>Kittitas</t>
        </is>
      </c>
      <c r="D368" s="7" t="n">
        <v>72.8270814272644</v>
      </c>
      <c r="E368" s="7" t="n">
        <v>52.09146448645428</v>
      </c>
      <c r="F368" s="7">
        <f>D368-E368</f>
        <v/>
      </c>
      <c r="G368" s="7">
        <f>ABS(F368)</f>
        <v/>
      </c>
      <c r="H368" s="7">
        <f>F368^2</f>
        <v/>
      </c>
      <c r="I368" s="7" t="n">
        <v>73603</v>
      </c>
      <c r="J368" s="7" t="n">
        <v>4.226898444647759</v>
      </c>
      <c r="K368" s="7" t="n">
        <v>23.9</v>
      </c>
      <c r="L368" s="7" t="n">
        <v>35.8</v>
      </c>
    </row>
    <row r="369">
      <c r="A369" s="7" t="inlineStr">
        <is>
          <t>98923</t>
        </is>
      </c>
      <c r="B369" s="7" t="inlineStr">
        <is>
          <t>Cowiche</t>
        </is>
      </c>
      <c r="C369" s="7" t="inlineStr">
        <is>
          <t>Yakima</t>
        </is>
      </c>
      <c r="D369" s="7" t="n">
        <v>12.25919439579685</v>
      </c>
      <c r="E369" s="7" t="n">
        <v>6.874138389031145</v>
      </c>
      <c r="F369" s="7">
        <f>D369-E369</f>
        <v/>
      </c>
      <c r="G369" s="7">
        <f>ABS(F369)</f>
        <v/>
      </c>
      <c r="H369" s="7">
        <f>F369^2</f>
        <v/>
      </c>
      <c r="I369" s="7" t="n">
        <v>47776</v>
      </c>
      <c r="J369" s="7" t="n">
        <v>0</v>
      </c>
      <c r="K369" s="7" t="n">
        <v>17.3</v>
      </c>
      <c r="L369" s="7" t="n">
        <v>18.8</v>
      </c>
    </row>
    <row r="370">
      <c r="A370" s="7" t="inlineStr">
        <is>
          <t>98925</t>
        </is>
      </c>
      <c r="B370" s="7" t="inlineStr">
        <is>
          <t>Easton</t>
        </is>
      </c>
      <c r="C370" s="7" t="inlineStr">
        <is>
          <t>Kittitas</t>
        </is>
      </c>
      <c r="D370" s="7" t="n">
        <v>47.42547425474255</v>
      </c>
      <c r="E370" s="7" t="n">
        <v>67.7831403822514</v>
      </c>
      <c r="F370" s="7">
        <f>D370-E370</f>
        <v/>
      </c>
      <c r="G370" s="7">
        <f>ABS(F370)</f>
        <v/>
      </c>
      <c r="H370" s="7">
        <f>F370^2</f>
        <v/>
      </c>
      <c r="I370" s="7" t="n">
        <v>97250</v>
      </c>
      <c r="J370" s="7" t="n">
        <v>0</v>
      </c>
      <c r="K370" s="7" t="n">
        <v>14.8</v>
      </c>
      <c r="L370" s="7" t="n">
        <v>57.6</v>
      </c>
    </row>
    <row r="371">
      <c r="A371" s="7" t="inlineStr">
        <is>
          <t>98926</t>
        </is>
      </c>
      <c r="B371" s="7" t="inlineStr">
        <is>
          <t>Ellensburg</t>
        </is>
      </c>
      <c r="C371" s="7" t="inlineStr">
        <is>
          <t>Kittitas</t>
        </is>
      </c>
      <c r="D371" s="7" t="n">
        <v>35.37844413756822</v>
      </c>
      <c r="E371" s="7" t="n">
        <v>36.54756640396725</v>
      </c>
      <c r="F371" s="7">
        <f>D371-E371</f>
        <v/>
      </c>
      <c r="G371" s="7">
        <f>ABS(F371)</f>
        <v/>
      </c>
      <c r="H371" s="7">
        <f>F371^2</f>
        <v/>
      </c>
      <c r="I371" s="7" t="n">
        <v>71137</v>
      </c>
      <c r="J371" s="7" t="n">
        <v>31.02518576971132</v>
      </c>
      <c r="K371" s="7" t="n">
        <v>11</v>
      </c>
      <c r="L371" s="7" t="n">
        <v>19.7</v>
      </c>
    </row>
    <row r="372">
      <c r="A372" s="7" t="inlineStr">
        <is>
          <t>98930</t>
        </is>
      </c>
      <c r="B372" s="7" t="inlineStr">
        <is>
          <t>Grandview</t>
        </is>
      </c>
      <c r="C372" s="7" t="inlineStr">
        <is>
          <t>Yakima</t>
        </is>
      </c>
      <c r="D372" s="7" t="n">
        <v>15.05622260339242</v>
      </c>
      <c r="E372" s="7" t="n">
        <v>14.53843226587637</v>
      </c>
      <c r="F372" s="7">
        <f>D372-E372</f>
        <v/>
      </c>
      <c r="G372" s="7">
        <f>ABS(F372)</f>
        <v/>
      </c>
      <c r="H372" s="7">
        <f>F372^2</f>
        <v/>
      </c>
      <c r="I372" s="7" t="n">
        <v>64583</v>
      </c>
      <c r="J372" s="7" t="n">
        <v>10.36782923575376</v>
      </c>
      <c r="K372" s="7" t="n">
        <v>3.2</v>
      </c>
      <c r="L372" s="7" t="n">
        <v>19.5</v>
      </c>
    </row>
    <row r="373">
      <c r="A373" s="7" t="inlineStr">
        <is>
          <t>98932</t>
        </is>
      </c>
      <c r="B373" s="7" t="inlineStr">
        <is>
          <t>Granger</t>
        </is>
      </c>
      <c r="C373" s="7" t="inlineStr">
        <is>
          <t>Yakima</t>
        </is>
      </c>
      <c r="D373" s="7" t="n">
        <v>11.24338624338624</v>
      </c>
      <c r="E373" s="7" t="n">
        <v>24.41422709797682</v>
      </c>
      <c r="F373" s="7">
        <f>D373-E373</f>
        <v/>
      </c>
      <c r="G373" s="7">
        <f>ABS(F373)</f>
        <v/>
      </c>
      <c r="H373" s="7">
        <f>F373^2</f>
        <v/>
      </c>
      <c r="I373" s="7" t="n">
        <v>71806</v>
      </c>
      <c r="J373" s="7" t="n">
        <v>15.93915343915344</v>
      </c>
      <c r="K373" s="7" t="n">
        <v>2.4</v>
      </c>
      <c r="L373" s="7" t="n">
        <v>22.6</v>
      </c>
    </row>
    <row r="374">
      <c r="A374" s="7" t="inlineStr">
        <is>
          <t>98933</t>
        </is>
      </c>
      <c r="B374" s="7" t="inlineStr">
        <is>
          <t>Harrah</t>
        </is>
      </c>
      <c r="C374" s="7" t="inlineStr">
        <is>
          <t>Yakima</t>
        </is>
      </c>
      <c r="D374" s="7" t="n">
        <v>14.52784503631961</v>
      </c>
      <c r="E374" s="7" t="n">
        <v>30.00855882081924</v>
      </c>
      <c r="F374" s="7">
        <f>D374-E374</f>
        <v/>
      </c>
      <c r="G374" s="7">
        <f>ABS(F374)</f>
        <v/>
      </c>
      <c r="H374" s="7">
        <f>F374^2</f>
        <v/>
      </c>
      <c r="I374" s="7" t="n">
        <v>75972</v>
      </c>
      <c r="J374" s="7" t="n">
        <v>4.358353510895883</v>
      </c>
      <c r="K374" s="7" t="n">
        <v>8.5</v>
      </c>
      <c r="L374" s="7" t="n">
        <v>21.1</v>
      </c>
    </row>
    <row r="375">
      <c r="A375" s="7" t="inlineStr">
        <is>
          <t>98934</t>
        </is>
      </c>
      <c r="B375" s="7" t="inlineStr">
        <is>
          <t>Kittitas</t>
        </is>
      </c>
      <c r="C375" s="7" t="inlineStr">
        <is>
          <t>Kittitas</t>
        </is>
      </c>
      <c r="D375" s="7" t="n">
        <v>14.67505241090147</v>
      </c>
      <c r="E375" s="7" t="n">
        <v>48.14109390671368</v>
      </c>
      <c r="F375" s="7">
        <f>D375-E375</f>
        <v/>
      </c>
      <c r="G375" s="7">
        <f>ABS(F375)</f>
        <v/>
      </c>
      <c r="H375" s="7">
        <f>F375^2</f>
        <v/>
      </c>
      <c r="I375" s="7" t="n">
        <v>79063</v>
      </c>
      <c r="J375" s="7" t="n">
        <v>7.337526205450734</v>
      </c>
      <c r="K375" s="7" t="n">
        <v>16.4</v>
      </c>
      <c r="L375" s="7" t="n">
        <v>37</v>
      </c>
    </row>
    <row r="376">
      <c r="A376" s="7" t="inlineStr">
        <is>
          <t>98935</t>
        </is>
      </c>
      <c r="B376" s="7" t="inlineStr">
        <is>
          <t>Mabton</t>
        </is>
      </c>
      <c r="C376" s="7" t="inlineStr">
        <is>
          <t>Yakima</t>
        </is>
      </c>
      <c r="D376" s="7" t="n">
        <v>13.88888888888889</v>
      </c>
      <c r="E376" s="7" t="n">
        <v>13.26367290169185</v>
      </c>
      <c r="F376" s="7">
        <f>D376-E376</f>
        <v/>
      </c>
      <c r="G376" s="7">
        <f>ABS(F376)</f>
        <v/>
      </c>
      <c r="H376" s="7">
        <f>F376^2</f>
        <v/>
      </c>
      <c r="I376" s="7" t="n">
        <v>61316</v>
      </c>
      <c r="J376" s="7" t="n">
        <v>8.660130718954248</v>
      </c>
      <c r="K376" s="7" t="n">
        <v>4.1</v>
      </c>
      <c r="L376" s="7" t="n">
        <v>27.1</v>
      </c>
    </row>
    <row r="377">
      <c r="A377" s="7" t="inlineStr">
        <is>
          <t>98936</t>
        </is>
      </c>
      <c r="B377" s="7" t="inlineStr">
        <is>
          <t>Moxee</t>
        </is>
      </c>
      <c r="C377" s="7" t="inlineStr">
        <is>
          <t>Yakima</t>
        </is>
      </c>
      <c r="D377" s="7" t="n">
        <v>23.40202584701362</v>
      </c>
      <c r="E377" s="7" t="n">
        <v>56.40285177494941</v>
      </c>
      <c r="F377" s="7">
        <f>D377-E377</f>
        <v/>
      </c>
      <c r="G377" s="7">
        <f>ABS(F377)</f>
        <v/>
      </c>
      <c r="H377" s="7">
        <f>F377^2</f>
        <v/>
      </c>
      <c r="I377" s="7" t="n">
        <v>99280</v>
      </c>
      <c r="J377" s="7" t="n">
        <v>3.318197694725812</v>
      </c>
      <c r="K377" s="7" t="n">
        <v>11</v>
      </c>
      <c r="L377" s="7" t="n">
        <v>22.1</v>
      </c>
    </row>
    <row r="378">
      <c r="A378" s="7" t="inlineStr">
        <is>
          <t>98937</t>
        </is>
      </c>
      <c r="B378" s="7" t="inlineStr">
        <is>
          <t>Naches</t>
        </is>
      </c>
      <c r="C378" s="7" t="inlineStr">
        <is>
          <t>Yakima</t>
        </is>
      </c>
      <c r="D378" s="7" t="n">
        <v>19.23847695390781</v>
      </c>
      <c r="E378" s="7" t="n">
        <v>34.65033404024889</v>
      </c>
      <c r="F378" s="7">
        <f>D378-E378</f>
        <v/>
      </c>
      <c r="G378" s="7">
        <f>ABS(F378)</f>
        <v/>
      </c>
      <c r="H378" s="7">
        <f>F378^2</f>
        <v/>
      </c>
      <c r="I378" s="7" t="n">
        <v>77143</v>
      </c>
      <c r="J378" s="7" t="n">
        <v>2.885771543086173</v>
      </c>
      <c r="K378" s="7" t="n">
        <v>12.8</v>
      </c>
      <c r="L378" s="7" t="n">
        <v>23.5</v>
      </c>
    </row>
    <row r="379">
      <c r="A379" s="7" t="inlineStr">
        <is>
          <t>98938</t>
        </is>
      </c>
      <c r="B379" s="7" t="inlineStr">
        <is>
          <t>Outlook</t>
        </is>
      </c>
      <c r="C379" s="7" t="inlineStr">
        <is>
          <t>Yakima</t>
        </is>
      </c>
      <c r="D379" s="7" t="n">
        <v>24.86678507992895</v>
      </c>
      <c r="E379" s="7" t="n">
        <v>-11.38029243491771</v>
      </c>
      <c r="F379" s="7">
        <f>D379-E379</f>
        <v/>
      </c>
      <c r="G379" s="7">
        <f>ABS(F379)</f>
        <v/>
      </c>
      <c r="H379" s="7">
        <f>F379^2</f>
        <v/>
      </c>
      <c r="I379" s="7" t="n">
        <v>46022</v>
      </c>
      <c r="J379" s="7" t="n">
        <v>0</v>
      </c>
      <c r="K379" s="7" t="n">
        <v>1</v>
      </c>
      <c r="L379" s="7" t="n">
        <v>13.8</v>
      </c>
    </row>
    <row r="380">
      <c r="A380" s="7" t="inlineStr">
        <is>
          <t>98941</t>
        </is>
      </c>
      <c r="B380" s="7" t="inlineStr">
        <is>
          <t>Roslyn</t>
        </is>
      </c>
      <c r="C380" s="7" t="inlineStr">
        <is>
          <t>Kittitas</t>
        </is>
      </c>
      <c r="D380" s="7" t="n">
        <v>45.94594594594595</v>
      </c>
      <c r="E380" s="7" t="n">
        <v>68.26462187916763</v>
      </c>
      <c r="F380" s="7">
        <f>D380-E380</f>
        <v/>
      </c>
      <c r="G380" s="7">
        <f>ABS(F380)</f>
        <v/>
      </c>
      <c r="H380" s="7">
        <f>F380^2</f>
        <v/>
      </c>
      <c r="I380" s="7" t="n">
        <v>104800</v>
      </c>
      <c r="J380" s="7" t="n">
        <v>3.918918918918919</v>
      </c>
      <c r="K380" s="7" t="n">
        <v>15.7</v>
      </c>
      <c r="L380" s="7" t="n">
        <v>29.5</v>
      </c>
    </row>
    <row r="381">
      <c r="A381" s="7" t="inlineStr">
        <is>
          <t>98942</t>
        </is>
      </c>
      <c r="B381" s="7" t="inlineStr">
        <is>
          <t>Selah</t>
        </is>
      </c>
      <c r="C381" s="7" t="inlineStr">
        <is>
          <t>Yakima</t>
        </is>
      </c>
      <c r="D381" s="7" t="n">
        <v>27.24867724867725</v>
      </c>
      <c r="E381" s="7" t="n">
        <v>39.8209602717962</v>
      </c>
      <c r="F381" s="7">
        <f>D381-E381</f>
        <v/>
      </c>
      <c r="G381" s="7">
        <f>ABS(F381)</f>
        <v/>
      </c>
      <c r="H381" s="7">
        <f>F381^2</f>
        <v/>
      </c>
      <c r="I381" s="7" t="n">
        <v>84646</v>
      </c>
      <c r="J381" s="7" t="n">
        <v>12.3015873015873</v>
      </c>
      <c r="K381" s="7" t="n">
        <v>7.5</v>
      </c>
      <c r="L381" s="7" t="n">
        <v>19.9</v>
      </c>
    </row>
    <row r="382">
      <c r="A382" s="7" t="inlineStr">
        <is>
          <t>98943</t>
        </is>
      </c>
      <c r="B382" s="7" t="inlineStr">
        <is>
          <t>South Cle Elum</t>
        </is>
      </c>
      <c r="C382" s="7" t="inlineStr">
        <is>
          <t>Kittitas</t>
        </is>
      </c>
      <c r="D382" s="7" t="n">
        <v>26.1437908496732</v>
      </c>
      <c r="E382" s="7" t="n">
        <v>22.91511606501935</v>
      </c>
      <c r="F382" s="7">
        <f>D382-E382</f>
        <v/>
      </c>
      <c r="G382" s="7">
        <f>ABS(F382)</f>
        <v/>
      </c>
      <c r="H382" s="7">
        <f>F382^2</f>
        <v/>
      </c>
      <c r="I382" s="7" t="n">
        <v>66750</v>
      </c>
      <c r="J382" s="7" t="n">
        <v>9.477124183006536</v>
      </c>
      <c r="K382" s="7" t="n">
        <v>7.9</v>
      </c>
      <c r="L382" s="7" t="n">
        <v>23.8</v>
      </c>
    </row>
    <row r="383">
      <c r="A383" s="7" t="inlineStr">
        <is>
          <t>98944</t>
        </is>
      </c>
      <c r="B383" s="7" t="inlineStr">
        <is>
          <t>Sunnyside</t>
        </is>
      </c>
      <c r="C383" s="7" t="inlineStr">
        <is>
          <t>Yakima</t>
        </is>
      </c>
      <c r="D383" s="7" t="n">
        <v>18.49345963013081</v>
      </c>
      <c r="E383" s="7" t="n">
        <v>21.86024292806081</v>
      </c>
      <c r="F383" s="7">
        <f>D383-E383</f>
        <v/>
      </c>
      <c r="G383" s="7">
        <f>ABS(F383)</f>
        <v/>
      </c>
      <c r="H383" s="7">
        <f>F383^2</f>
        <v/>
      </c>
      <c r="I383" s="7" t="n">
        <v>64276</v>
      </c>
      <c r="J383" s="7" t="n">
        <v>21.32010224026462</v>
      </c>
      <c r="K383" s="7" t="n">
        <v>5.7</v>
      </c>
      <c r="L383" s="7" t="n">
        <v>23.9</v>
      </c>
    </row>
    <row r="384">
      <c r="A384" s="7" t="inlineStr">
        <is>
          <t>98946</t>
        </is>
      </c>
      <c r="B384" s="7" t="inlineStr">
        <is>
          <t>Thorp</t>
        </is>
      </c>
      <c r="C384" s="7" t="inlineStr">
        <is>
          <t>Kittitas</t>
        </is>
      </c>
      <c r="D384" s="7" t="n">
        <v>74.53416149068323</v>
      </c>
      <c r="E384" s="7" t="n">
        <v>78.46015028340011</v>
      </c>
      <c r="F384" s="7">
        <f>D384-E384</f>
        <v/>
      </c>
      <c r="G384" s="7">
        <f>ABS(F384)</f>
        <v/>
      </c>
      <c r="H384" s="7">
        <f>F384^2</f>
        <v/>
      </c>
      <c r="I384" s="7" t="n">
        <v>121875</v>
      </c>
      <c r="J384" s="7" t="n">
        <v>0</v>
      </c>
      <c r="K384" s="7" t="n">
        <v>12.3</v>
      </c>
      <c r="L384" s="7" t="n">
        <v>19.1</v>
      </c>
    </row>
    <row r="385">
      <c r="A385" s="7" t="inlineStr">
        <is>
          <t>98947</t>
        </is>
      </c>
      <c r="B385" s="7" t="inlineStr">
        <is>
          <t>Tieton</t>
        </is>
      </c>
      <c r="C385" s="7" t="inlineStr">
        <is>
          <t>Yakima</t>
        </is>
      </c>
      <c r="D385" s="7" t="n">
        <v>25.02316960148286</v>
      </c>
      <c r="E385" s="7" t="n">
        <v>32.7810987508991</v>
      </c>
      <c r="F385" s="7">
        <f>D385-E385</f>
        <v/>
      </c>
      <c r="G385" s="7">
        <f>ABS(F385)</f>
        <v/>
      </c>
      <c r="H385" s="7">
        <f>F385^2</f>
        <v/>
      </c>
      <c r="I385" s="7" t="n">
        <v>75057</v>
      </c>
      <c r="J385" s="7" t="n">
        <v>16.68211306765524</v>
      </c>
      <c r="K385" s="7" t="n">
        <v>7.1</v>
      </c>
      <c r="L385" s="7" t="n">
        <v>22.7</v>
      </c>
    </row>
    <row r="386">
      <c r="A386" s="7" t="inlineStr">
        <is>
          <t>98948</t>
        </is>
      </c>
      <c r="B386" s="7" t="inlineStr">
        <is>
          <t>Toppenish</t>
        </is>
      </c>
      <c r="C386" s="7" t="inlineStr">
        <is>
          <t>Yakima</t>
        </is>
      </c>
      <c r="D386" s="7" t="n">
        <v>10.47409040793826</v>
      </c>
      <c r="E386" s="7" t="n">
        <v>21.66152151774825</v>
      </c>
      <c r="F386" s="7">
        <f>D386-E386</f>
        <v/>
      </c>
      <c r="G386" s="7">
        <f>ABS(F386)</f>
        <v/>
      </c>
      <c r="H386" s="7">
        <f>F386^2</f>
        <v/>
      </c>
      <c r="I386" s="7" t="n">
        <v>65759</v>
      </c>
      <c r="J386" s="7" t="n">
        <v>17.42006615214995</v>
      </c>
      <c r="K386" s="7" t="n">
        <v>5.6</v>
      </c>
      <c r="L386" s="7" t="n">
        <v>21.6</v>
      </c>
    </row>
    <row r="387">
      <c r="A387" s="7" t="inlineStr">
        <is>
          <t>98951</t>
        </is>
      </c>
      <c r="B387" s="7" t="inlineStr">
        <is>
          <t>Wapato</t>
        </is>
      </c>
      <c r="C387" s="7" t="inlineStr">
        <is>
          <t>Yakima</t>
        </is>
      </c>
      <c r="D387" s="7" t="n">
        <v>12.30933904201231</v>
      </c>
      <c r="E387" s="7" t="n">
        <v>16.14128436009196</v>
      </c>
      <c r="F387" s="7">
        <f>D387-E387</f>
        <v/>
      </c>
      <c r="G387" s="7">
        <f>ABS(F387)</f>
        <v/>
      </c>
      <c r="H387" s="7">
        <f>F387^2</f>
        <v/>
      </c>
      <c r="I387" s="7" t="n">
        <v>63356</v>
      </c>
      <c r="J387" s="7" t="n">
        <v>10.22210329141022</v>
      </c>
      <c r="K387" s="7" t="n">
        <v>5.9</v>
      </c>
      <c r="L387" s="7" t="n">
        <v>22.9</v>
      </c>
    </row>
    <row r="388">
      <c r="A388" s="7" t="inlineStr">
        <is>
          <t>98952</t>
        </is>
      </c>
      <c r="B388" s="7" t="inlineStr">
        <is>
          <t>White Swan</t>
        </is>
      </c>
      <c r="C388" s="7" t="inlineStr">
        <is>
          <t>Yakima</t>
        </is>
      </c>
      <c r="D388" s="7" t="n">
        <v>1.724137931034483</v>
      </c>
      <c r="E388" s="7" t="n">
        <v>-4.636745621571663</v>
      </c>
      <c r="F388" s="7">
        <f>D388-E388</f>
        <v/>
      </c>
      <c r="G388" s="7">
        <f>ABS(F388)</f>
        <v/>
      </c>
      <c r="H388" s="7">
        <f>F388^2</f>
        <v/>
      </c>
      <c r="I388" s="7" t="n">
        <v>50417</v>
      </c>
      <c r="J388" s="7" t="n">
        <v>1.551724137931034</v>
      </c>
      <c r="K388" s="7" t="n">
        <v>1.4</v>
      </c>
      <c r="L388" s="7" t="n">
        <v>19.1</v>
      </c>
    </row>
    <row r="389">
      <c r="A389" s="7" t="inlineStr">
        <is>
          <t>98953</t>
        </is>
      </c>
      <c r="B389" s="7" t="inlineStr">
        <is>
          <t>Zillah</t>
        </is>
      </c>
      <c r="C389" s="7" t="inlineStr">
        <is>
          <t>Yakima</t>
        </is>
      </c>
      <c r="D389" s="7" t="n">
        <v>25.43786488740617</v>
      </c>
      <c r="E389" s="7" t="n">
        <v>39.07880594127501</v>
      </c>
      <c r="F389" s="7">
        <f>D389-E389</f>
        <v/>
      </c>
      <c r="G389" s="7">
        <f>ABS(F389)</f>
        <v/>
      </c>
      <c r="H389" s="7">
        <f>F389^2</f>
        <v/>
      </c>
      <c r="I389" s="7" t="n">
        <v>84766</v>
      </c>
      <c r="J389" s="7" t="n">
        <v>9.924937447873228</v>
      </c>
      <c r="K389" s="7" t="n">
        <v>6.5</v>
      </c>
      <c r="L389" s="7" t="n">
        <v>22.8</v>
      </c>
    </row>
    <row r="390">
      <c r="A390" s="7" t="inlineStr">
        <is>
          <t>99001</t>
        </is>
      </c>
      <c r="B390" s="7" t="inlineStr">
        <is>
          <t>Airway Heights</t>
        </is>
      </c>
      <c r="C390" s="7" t="inlineStr">
        <is>
          <t>Spokane</t>
        </is>
      </c>
      <c r="D390" s="7" t="n">
        <v>46.17940199335548</v>
      </c>
      <c r="E390" s="7" t="n">
        <v>39.30502297140181</v>
      </c>
      <c r="F390" s="7">
        <f>D390-E390</f>
        <v/>
      </c>
      <c r="G390" s="7">
        <f>ABS(F390)</f>
        <v/>
      </c>
      <c r="H390" s="7">
        <f>F390^2</f>
        <v/>
      </c>
      <c r="I390" s="7" t="n">
        <v>62518</v>
      </c>
      <c r="J390" s="7" t="n">
        <v>55.54817275747508</v>
      </c>
      <c r="K390" s="7" t="n">
        <v>7.2</v>
      </c>
      <c r="L390" s="7" t="n">
        <v>23.4</v>
      </c>
    </row>
    <row r="391">
      <c r="A391" s="7" t="inlineStr">
        <is>
          <t>99003</t>
        </is>
      </c>
      <c r="B391" s="7" t="inlineStr">
        <is>
          <t>Chattaroy</t>
        </is>
      </c>
      <c r="C391" s="7" t="inlineStr">
        <is>
          <t>Spokane</t>
        </is>
      </c>
      <c r="D391" s="7" t="n">
        <v>34.92884864165589</v>
      </c>
      <c r="E391" s="7" t="n">
        <v>36.17561593764164</v>
      </c>
      <c r="F391" s="7">
        <f>D391-E391</f>
        <v/>
      </c>
      <c r="G391" s="7">
        <f>ABS(F391)</f>
        <v/>
      </c>
      <c r="H391" s="7">
        <f>F391^2</f>
        <v/>
      </c>
      <c r="I391" s="7" t="n">
        <v>77129</v>
      </c>
      <c r="J391" s="7" t="n">
        <v>0</v>
      </c>
      <c r="K391" s="7" t="n">
        <v>8.9</v>
      </c>
      <c r="L391" s="7" t="n">
        <v>35.5</v>
      </c>
    </row>
    <row r="392">
      <c r="A392" s="7" t="inlineStr">
        <is>
          <t>99004</t>
        </is>
      </c>
      <c r="B392" s="7" t="inlineStr">
        <is>
          <t>Cheney</t>
        </is>
      </c>
      <c r="C392" s="7" t="inlineStr">
        <is>
          <t>Spokane</t>
        </is>
      </c>
      <c r="D392" s="7" t="n">
        <v>30.1672313914089</v>
      </c>
      <c r="E392" s="7" t="n">
        <v>39.51399209138441</v>
      </c>
      <c r="F392" s="7">
        <f>D392-E392</f>
        <v/>
      </c>
      <c r="G392" s="7">
        <f>ABS(F392)</f>
        <v/>
      </c>
      <c r="H392" s="7">
        <f>F392^2</f>
        <v/>
      </c>
      <c r="I392" s="7" t="n">
        <v>67337</v>
      </c>
      <c r="J392" s="7" t="n">
        <v>32.48442452727074</v>
      </c>
      <c r="K392" s="7" t="n">
        <v>15.8</v>
      </c>
      <c r="L392" s="7" t="n">
        <v>22.9</v>
      </c>
    </row>
    <row r="393">
      <c r="A393" s="7" t="inlineStr">
        <is>
          <t>99005</t>
        </is>
      </c>
      <c r="B393" s="7" t="inlineStr">
        <is>
          <t>Colbert</t>
        </is>
      </c>
      <c r="C393" s="7" t="inlineStr">
        <is>
          <t>Spokane</t>
        </is>
      </c>
      <c r="D393" s="7" t="n">
        <v>64.25265450585353</v>
      </c>
      <c r="E393" s="7" t="n">
        <v>90.55286323001518</v>
      </c>
      <c r="F393" s="7">
        <f>D393-E393</f>
        <v/>
      </c>
      <c r="G393" s="7">
        <f>ABS(F393)</f>
        <v/>
      </c>
      <c r="H393" s="7">
        <f>F393^2</f>
        <v/>
      </c>
      <c r="I393" s="7" t="n">
        <v>125530</v>
      </c>
      <c r="J393" s="7" t="n">
        <v>2.749795807242037</v>
      </c>
      <c r="K393" s="7" t="n">
        <v>17</v>
      </c>
      <c r="L393" s="7" t="n">
        <v>28</v>
      </c>
    </row>
    <row r="394">
      <c r="A394" s="7" t="inlineStr">
        <is>
          <t>99006</t>
        </is>
      </c>
      <c r="B394" s="7" t="inlineStr">
        <is>
          <t>Deer Park</t>
        </is>
      </c>
      <c r="C394" s="7" t="inlineStr">
        <is>
          <t>Spokane</t>
        </is>
      </c>
      <c r="D394" s="7" t="n">
        <v>25.17361111111111</v>
      </c>
      <c r="E394" s="7" t="n">
        <v>32.62853057978197</v>
      </c>
      <c r="F394" s="7">
        <f>D394-E394</f>
        <v/>
      </c>
      <c r="G394" s="7">
        <f>ABS(F394)</f>
        <v/>
      </c>
      <c r="H394" s="7">
        <f>F394^2</f>
        <v/>
      </c>
      <c r="I394" s="7" t="n">
        <v>72200</v>
      </c>
      <c r="J394" s="7" t="n">
        <v>7.482638888888888</v>
      </c>
      <c r="K394" s="7" t="n">
        <v>10.5</v>
      </c>
      <c r="L394" s="7" t="n">
        <v>33</v>
      </c>
    </row>
    <row r="395">
      <c r="A395" s="7" t="inlineStr">
        <is>
          <t>99009</t>
        </is>
      </c>
      <c r="B395" s="7" t="inlineStr">
        <is>
          <t>Elk</t>
        </is>
      </c>
      <c r="C395" s="7" t="inlineStr">
        <is>
          <t>Spokane</t>
        </is>
      </c>
      <c r="D395" s="7" t="n">
        <v>24.81121898597627</v>
      </c>
      <c r="E395" s="7" t="n">
        <v>51.35949719526418</v>
      </c>
      <c r="F395" s="7">
        <f>D395-E395</f>
        <v/>
      </c>
      <c r="G395" s="7">
        <f>ABS(F395)</f>
        <v/>
      </c>
      <c r="H395" s="7">
        <f>F395^2</f>
        <v/>
      </c>
      <c r="I395" s="7" t="n">
        <v>81809</v>
      </c>
      <c r="J395" s="7" t="n">
        <v>2.21143473570658</v>
      </c>
      <c r="K395" s="7" t="n">
        <v>15.8</v>
      </c>
      <c r="L395" s="7" t="n">
        <v>50.4</v>
      </c>
    </row>
    <row r="396">
      <c r="A396" s="7" t="inlineStr">
        <is>
          <t>99011</t>
        </is>
      </c>
      <c r="B396" s="7" t="inlineStr">
        <is>
          <t>Fairchild Air Force Base</t>
        </is>
      </c>
      <c r="C396" s="7" t="inlineStr">
        <is>
          <t>Spokane</t>
        </is>
      </c>
      <c r="D396" s="7" t="n">
        <v>30.67484662576687</v>
      </c>
      <c r="E396" s="7" t="n">
        <v>28.57176588919845</v>
      </c>
      <c r="F396" s="7">
        <f>D396-E396</f>
        <v/>
      </c>
      <c r="G396" s="7">
        <f>ABS(F396)</f>
        <v/>
      </c>
      <c r="H396" s="7">
        <f>F396^2</f>
        <v/>
      </c>
      <c r="I396" s="7" t="n">
        <v>69917</v>
      </c>
      <c r="J396" s="7" t="n">
        <v>25.15337423312883</v>
      </c>
      <c r="K396" s="7" t="n">
        <v>8.300000000000001</v>
      </c>
      <c r="L396" s="7" t="n">
        <v>9.699999999999999</v>
      </c>
    </row>
    <row r="397">
      <c r="A397" s="7" t="inlineStr">
        <is>
          <t>99012</t>
        </is>
      </c>
      <c r="B397" s="7" t="inlineStr">
        <is>
          <t>Fairfield</t>
        </is>
      </c>
      <c r="C397" s="7" t="inlineStr">
        <is>
          <t>Spokane</t>
        </is>
      </c>
      <c r="D397" s="7" t="n">
        <v>7.792207792207792</v>
      </c>
      <c r="E397" s="7" t="n">
        <v>45.23030741108742</v>
      </c>
      <c r="F397" s="7">
        <f>D397-E397</f>
        <v/>
      </c>
      <c r="G397" s="7">
        <f>ABS(F397)</f>
        <v/>
      </c>
      <c r="H397" s="7">
        <f>F397^2</f>
        <v/>
      </c>
      <c r="I397" s="7" t="n">
        <v>88571</v>
      </c>
      <c r="J397" s="7" t="n">
        <v>3.116883116883117</v>
      </c>
      <c r="K397" s="7" t="n">
        <v>7.1</v>
      </c>
      <c r="L397" s="7" t="n">
        <v>36.2</v>
      </c>
    </row>
    <row r="398">
      <c r="A398" s="7" t="inlineStr">
        <is>
          <t>99013</t>
        </is>
      </c>
      <c r="B398" s="7" t="inlineStr">
        <is>
          <t>Ford</t>
        </is>
      </c>
      <c r="C398" s="7" t="inlineStr">
        <is>
          <t>Stevens</t>
        </is>
      </c>
      <c r="D398" s="7" t="n">
        <v>10.83032490974729</v>
      </c>
      <c r="E398" s="7" t="n">
        <v>4.558359852367907</v>
      </c>
      <c r="F398" s="7">
        <f>D398-E398</f>
        <v/>
      </c>
      <c r="G398" s="7">
        <f>ABS(F398)</f>
        <v/>
      </c>
      <c r="H398" s="7">
        <f>F398^2</f>
        <v/>
      </c>
      <c r="I398" s="7" t="n">
        <v>49518</v>
      </c>
      <c r="J398" s="7" t="n">
        <v>1.444043321299639</v>
      </c>
      <c r="K398" s="7" t="n">
        <v>4.7</v>
      </c>
      <c r="L398" s="7" t="n">
        <v>41.9</v>
      </c>
    </row>
    <row r="399">
      <c r="A399" s="7" t="inlineStr">
        <is>
          <t>99016</t>
        </is>
      </c>
      <c r="B399" s="7" t="inlineStr">
        <is>
          <t>Greenacres</t>
        </is>
      </c>
      <c r="C399" s="7" t="inlineStr">
        <is>
          <t>Spokane</t>
        </is>
      </c>
      <c r="D399" s="7" t="n">
        <v>51.04743558873104</v>
      </c>
      <c r="E399" s="7" t="n">
        <v>76.15167997789339</v>
      </c>
      <c r="F399" s="7">
        <f>D399-E399</f>
        <v/>
      </c>
      <c r="G399" s="7">
        <f>ABS(F399)</f>
        <v/>
      </c>
      <c r="H399" s="7">
        <f>F399^2</f>
        <v/>
      </c>
      <c r="I399" s="7" t="n">
        <v>103472</v>
      </c>
      <c r="J399" s="7" t="n">
        <v>8.933301228027931</v>
      </c>
      <c r="K399" s="7" t="n">
        <v>22</v>
      </c>
      <c r="L399" s="7" t="n">
        <v>22.1</v>
      </c>
    </row>
    <row r="400">
      <c r="A400" s="7" t="inlineStr">
        <is>
          <t>99017</t>
        </is>
      </c>
      <c r="B400" s="7" t="inlineStr">
        <is>
          <t>Lamont</t>
        </is>
      </c>
      <c r="C400" s="7" t="inlineStr">
        <is>
          <t>Whitman</t>
        </is>
      </c>
      <c r="D400" s="7" t="n">
        <v>10.20408163265306</v>
      </c>
      <c r="E400" s="7" t="n">
        <v>17.12448985666184</v>
      </c>
      <c r="F400" s="7">
        <f>D400-E400</f>
        <v/>
      </c>
      <c r="G400" s="7">
        <f>ABS(F400)</f>
        <v/>
      </c>
      <c r="H400" s="7">
        <f>F400^2</f>
        <v/>
      </c>
      <c r="I400" s="7" t="n">
        <v>58958</v>
      </c>
      <c r="J400" s="7" t="n">
        <v>0</v>
      </c>
      <c r="K400" s="7" t="n">
        <v>10</v>
      </c>
      <c r="L400" s="7" t="n">
        <v>32</v>
      </c>
    </row>
    <row r="401">
      <c r="A401" s="7" t="inlineStr">
        <is>
          <t>99018</t>
        </is>
      </c>
      <c r="B401" s="7" t="inlineStr">
        <is>
          <t>Latah</t>
        </is>
      </c>
      <c r="C401" s="7" t="inlineStr">
        <is>
          <t>Spokane</t>
        </is>
      </c>
      <c r="D401" s="7" t="n">
        <v>32.78688524590164</v>
      </c>
      <c r="E401" s="7" t="n">
        <v>7.270583134324262</v>
      </c>
      <c r="F401" s="7">
        <f>D401-E401</f>
        <v/>
      </c>
      <c r="G401" s="7">
        <f>ABS(F401)</f>
        <v/>
      </c>
      <c r="H401" s="7">
        <f>F401^2</f>
        <v/>
      </c>
      <c r="I401" s="7" t="n">
        <v>52813</v>
      </c>
      <c r="J401" s="7" t="n">
        <v>1.639344262295082</v>
      </c>
      <c r="K401" s="7" t="n">
        <v>4.3</v>
      </c>
      <c r="L401" s="7" t="n">
        <v>41</v>
      </c>
    </row>
    <row r="402">
      <c r="A402" s="7" t="inlineStr">
        <is>
          <t>99019</t>
        </is>
      </c>
      <c r="B402" s="7" t="inlineStr">
        <is>
          <t>Liberty Lake</t>
        </is>
      </c>
      <c r="C402" s="7" t="inlineStr">
        <is>
          <t>Spokane</t>
        </is>
      </c>
      <c r="D402" s="7" t="n">
        <v>77.60205958072821</v>
      </c>
      <c r="E402" s="7" t="n">
        <v>100.3163870179916</v>
      </c>
      <c r="F402" s="7">
        <f>D402-E402</f>
        <v/>
      </c>
      <c r="G402" s="7">
        <f>ABS(F402)</f>
        <v/>
      </c>
      <c r="H402" s="7">
        <f>F402^2</f>
        <v/>
      </c>
      <c r="I402" s="7" t="n">
        <v>120053</v>
      </c>
      <c r="J402" s="7" t="n">
        <v>27.0136079440971</v>
      </c>
      <c r="K402" s="7" t="n">
        <v>23.6</v>
      </c>
      <c r="L402" s="7" t="n">
        <v>22.1</v>
      </c>
    </row>
    <row r="403">
      <c r="A403" s="7" t="inlineStr">
        <is>
          <t>99021</t>
        </is>
      </c>
      <c r="B403" s="7" t="inlineStr">
        <is>
          <t>Mead</t>
        </is>
      </c>
      <c r="C403" s="7" t="inlineStr">
        <is>
          <t>Spokane</t>
        </is>
      </c>
      <c r="D403" s="7" t="n">
        <v>39.82177666388193</v>
      </c>
      <c r="E403" s="7" t="n">
        <v>50.41237011988578</v>
      </c>
      <c r="F403" s="7">
        <f>D403-E403</f>
        <v/>
      </c>
      <c r="G403" s="7">
        <f>ABS(F403)</f>
        <v/>
      </c>
      <c r="H403" s="7">
        <f>F403^2</f>
        <v/>
      </c>
      <c r="I403" s="7" t="n">
        <v>85489</v>
      </c>
      <c r="J403" s="7" t="n">
        <v>5.096073517126149</v>
      </c>
      <c r="K403" s="7" t="n">
        <v>14.9</v>
      </c>
      <c r="L403" s="7" t="n">
        <v>27.3</v>
      </c>
    </row>
    <row r="404">
      <c r="A404" s="7" t="inlineStr">
        <is>
          <t>99022</t>
        </is>
      </c>
      <c r="B404" s="7" t="inlineStr">
        <is>
          <t>Medical Lake</t>
        </is>
      </c>
      <c r="C404" s="7" t="inlineStr">
        <is>
          <t>Spokane</t>
        </is>
      </c>
      <c r="D404" s="7" t="n">
        <v>25.71503542377329</v>
      </c>
      <c r="E404" s="7" t="n">
        <v>59.11057384132767</v>
      </c>
      <c r="F404" s="7">
        <f>D404-E404</f>
        <v/>
      </c>
      <c r="G404" s="7">
        <f>ABS(F404)</f>
        <v/>
      </c>
      <c r="H404" s="7">
        <f>F404^2</f>
        <v/>
      </c>
      <c r="I404" s="7" t="n">
        <v>93812</v>
      </c>
      <c r="J404" s="7" t="n">
        <v>16.29493571241144</v>
      </c>
      <c r="K404" s="7" t="n">
        <v>14</v>
      </c>
      <c r="L404" s="7" t="n">
        <v>23.4</v>
      </c>
    </row>
    <row r="405">
      <c r="A405" s="7" t="inlineStr">
        <is>
          <t>99023</t>
        </is>
      </c>
      <c r="B405" s="7" t="inlineStr">
        <is>
          <t>Mica</t>
        </is>
      </c>
      <c r="C405" s="7" t="inlineStr">
        <is>
          <t>Spokane</t>
        </is>
      </c>
      <c r="D405" s="7" t="n">
        <v>52.63157894736842</v>
      </c>
      <c r="E405" s="7" t="n">
        <v>72.36974985897358</v>
      </c>
      <c r="F405" s="7">
        <f>D405-E405</f>
        <v/>
      </c>
      <c r="G405" s="7">
        <f>ABS(F405)</f>
        <v/>
      </c>
      <c r="H405" s="7">
        <f>F405^2</f>
        <v/>
      </c>
      <c r="I405" s="7" t="n">
        <v>114298</v>
      </c>
      <c r="J405" s="7" t="n">
        <v>0</v>
      </c>
      <c r="K405" s="7" t="n">
        <v>11.7</v>
      </c>
      <c r="L405" s="7" t="n">
        <v>31.7</v>
      </c>
    </row>
    <row r="406">
      <c r="A406" s="7" t="inlineStr">
        <is>
          <t>99025</t>
        </is>
      </c>
      <c r="B406" s="7" t="inlineStr">
        <is>
          <t>Newman Lake</t>
        </is>
      </c>
      <c r="C406" s="7" t="inlineStr">
        <is>
          <t>Spokane</t>
        </is>
      </c>
      <c r="D406" s="7" t="n">
        <v>29.05464006938422</v>
      </c>
      <c r="E406" s="7" t="n">
        <v>90.59042124127872</v>
      </c>
      <c r="F406" s="7">
        <f>D406-E406</f>
        <v/>
      </c>
      <c r="G406" s="7">
        <f>ABS(F406)</f>
        <v/>
      </c>
      <c r="H406" s="7">
        <f>F406^2</f>
        <v/>
      </c>
      <c r="I406" s="7" t="n">
        <v>118712</v>
      </c>
      <c r="J406" s="7" t="n">
        <v>2.948829141370338</v>
      </c>
      <c r="K406" s="7" t="n">
        <v>20.9</v>
      </c>
      <c r="L406" s="7" t="n">
        <v>31.5</v>
      </c>
    </row>
    <row r="407">
      <c r="A407" s="7" t="inlineStr">
        <is>
          <t>99026</t>
        </is>
      </c>
      <c r="B407" s="7" t="inlineStr">
        <is>
          <t>Nine Mile Falls</t>
        </is>
      </c>
      <c r="C407" s="7" t="inlineStr">
        <is>
          <t>Stevens</t>
        </is>
      </c>
      <c r="D407" s="7" t="n">
        <v>53.39670114621191</v>
      </c>
      <c r="E407" s="7" t="n">
        <v>65.21570068395332</v>
      </c>
      <c r="F407" s="7">
        <f>D407-E407</f>
        <v/>
      </c>
      <c r="G407" s="7">
        <f>ABS(F407)</f>
        <v/>
      </c>
      <c r="H407" s="7">
        <f>F407^2</f>
        <v/>
      </c>
      <c r="I407" s="7" t="n">
        <v>100599</v>
      </c>
      <c r="J407" s="7" t="n">
        <v>0</v>
      </c>
      <c r="K407" s="7" t="n">
        <v>15</v>
      </c>
      <c r="L407" s="7" t="n">
        <v>37.4</v>
      </c>
    </row>
    <row r="408">
      <c r="A408" s="7" t="inlineStr">
        <is>
          <t>99027</t>
        </is>
      </c>
      <c r="B408" s="7" t="inlineStr">
        <is>
          <t>Otis Orchards</t>
        </is>
      </c>
      <c r="C408" s="7" t="inlineStr">
        <is>
          <t>Spokane</t>
        </is>
      </c>
      <c r="D408" s="7" t="n">
        <v>30.9315866084425</v>
      </c>
      <c r="E408" s="7" t="n">
        <v>31.31029467743112</v>
      </c>
      <c r="F408" s="7">
        <f>D408-E408</f>
        <v/>
      </c>
      <c r="G408" s="7">
        <f>ABS(F408)</f>
        <v/>
      </c>
      <c r="H408" s="7">
        <f>F408^2</f>
        <v/>
      </c>
      <c r="I408" s="7" t="n">
        <v>74718</v>
      </c>
      <c r="J408" s="7" t="n">
        <v>0</v>
      </c>
      <c r="K408" s="7" t="n">
        <v>12.8</v>
      </c>
      <c r="L408" s="7" t="n">
        <v>21.9</v>
      </c>
    </row>
    <row r="409">
      <c r="A409" s="7" t="inlineStr">
        <is>
          <t>99029</t>
        </is>
      </c>
      <c r="B409" s="7" t="inlineStr">
        <is>
          <t>Reardan</t>
        </is>
      </c>
      <c r="C409" s="7" t="inlineStr">
        <is>
          <t>Lincoln</t>
        </is>
      </c>
      <c r="D409" s="7" t="n">
        <v>17.31601731601732</v>
      </c>
      <c r="E409" s="7" t="n">
        <v>41.13747142820384</v>
      </c>
      <c r="F409" s="7">
        <f>D409-E409</f>
        <v/>
      </c>
      <c r="G409" s="7">
        <f>ABS(F409)</f>
        <v/>
      </c>
      <c r="H409" s="7">
        <f>F409^2</f>
        <v/>
      </c>
      <c r="I409" s="7" t="n">
        <v>69919</v>
      </c>
      <c r="J409" s="7" t="n">
        <v>15.87301587301587</v>
      </c>
      <c r="K409" s="7" t="n">
        <v>18.2</v>
      </c>
      <c r="L409" s="7" t="n">
        <v>28.3</v>
      </c>
    </row>
    <row r="410">
      <c r="A410" s="7" t="inlineStr">
        <is>
          <t>99030</t>
        </is>
      </c>
      <c r="B410" s="7" t="inlineStr">
        <is>
          <t>Rockford</t>
        </is>
      </c>
      <c r="C410" s="7" t="inlineStr">
        <is>
          <t>Spokane</t>
        </is>
      </c>
      <c r="D410" s="7" t="n">
        <v>16.52892561983471</v>
      </c>
      <c r="E410" s="7" t="n">
        <v>38.57241439117373</v>
      </c>
      <c r="F410" s="7">
        <f>D410-E410</f>
        <v/>
      </c>
      <c r="G410" s="7">
        <f>ABS(F410)</f>
        <v/>
      </c>
      <c r="H410" s="7">
        <f>F410^2</f>
        <v/>
      </c>
      <c r="I410" s="7" t="n">
        <v>86250</v>
      </c>
      <c r="J410" s="7" t="n">
        <v>1.101928374655647</v>
      </c>
      <c r="K410" s="7" t="n">
        <v>3.8</v>
      </c>
      <c r="L410" s="7" t="n">
        <v>39.2</v>
      </c>
    </row>
    <row r="411">
      <c r="A411" s="7" t="inlineStr">
        <is>
          <t>99031</t>
        </is>
      </c>
      <c r="B411" s="7" t="inlineStr">
        <is>
          <t>Spangle</t>
        </is>
      </c>
      <c r="C411" s="7" t="inlineStr">
        <is>
          <t>Spokane</t>
        </is>
      </c>
      <c r="D411" s="7" t="n">
        <v>48.88888888888889</v>
      </c>
      <c r="E411" s="7" t="n">
        <v>51.20476880749379</v>
      </c>
      <c r="F411" s="7">
        <f>D411-E411</f>
        <v/>
      </c>
      <c r="G411" s="7">
        <f>ABS(F411)</f>
        <v/>
      </c>
      <c r="H411" s="7">
        <f>F411^2</f>
        <v/>
      </c>
      <c r="I411" s="7" t="n">
        <v>98182</v>
      </c>
      <c r="J411" s="7" t="n">
        <v>0</v>
      </c>
      <c r="K411" s="7" t="n">
        <v>7.3</v>
      </c>
      <c r="L411" s="7" t="n">
        <v>25.7</v>
      </c>
    </row>
    <row r="412">
      <c r="A412" s="7" t="inlineStr">
        <is>
          <t>99032</t>
        </is>
      </c>
      <c r="B412" s="7" t="inlineStr">
        <is>
          <t>Sprague</t>
        </is>
      </c>
      <c r="C412" s="7" t="inlineStr">
        <is>
          <t>Lincoln</t>
        </is>
      </c>
      <c r="D412" s="7" t="n">
        <v>8.438818565400844</v>
      </c>
      <c r="E412" s="7" t="n">
        <v>12.48269436184305</v>
      </c>
      <c r="F412" s="7">
        <f>D412-E412</f>
        <v/>
      </c>
      <c r="G412" s="7">
        <f>ABS(F412)</f>
        <v/>
      </c>
      <c r="H412" s="7">
        <f>F412^2</f>
        <v/>
      </c>
      <c r="I412" s="7" t="n">
        <v>61964</v>
      </c>
      <c r="J412" s="7" t="n">
        <v>1.265822784810127</v>
      </c>
      <c r="K412" s="7" t="n">
        <v>4.3</v>
      </c>
      <c r="L412" s="7" t="n">
        <v>25.9</v>
      </c>
    </row>
    <row r="413">
      <c r="A413" s="7" t="inlineStr">
        <is>
          <t>99033</t>
        </is>
      </c>
      <c r="B413" s="7" t="inlineStr">
        <is>
          <t>Tekoa</t>
        </is>
      </c>
      <c r="C413" s="7" t="inlineStr">
        <is>
          <t>Whitman</t>
        </is>
      </c>
      <c r="D413" s="7" t="n">
        <v>4.761904761904763</v>
      </c>
      <c r="E413" s="7" t="n">
        <v>22.09544552070457</v>
      </c>
      <c r="F413" s="7">
        <f>D413-E413</f>
        <v/>
      </c>
      <c r="G413" s="7">
        <f>ABS(F413)</f>
        <v/>
      </c>
      <c r="H413" s="7">
        <f>F413^2</f>
        <v/>
      </c>
      <c r="I413" s="7" t="n">
        <v>58750</v>
      </c>
      <c r="J413" s="7" t="n">
        <v>7.142857142857142</v>
      </c>
      <c r="K413" s="7" t="n">
        <v>13.8</v>
      </c>
      <c r="L413" s="7" t="n">
        <v>25.7</v>
      </c>
    </row>
    <row r="414">
      <c r="A414" s="7" t="inlineStr">
        <is>
          <t>99036</t>
        </is>
      </c>
      <c r="B414" s="7" t="inlineStr">
        <is>
          <t>Valleyford</t>
        </is>
      </c>
      <c r="C414" s="7" t="inlineStr">
        <is>
          <t>Spokane</t>
        </is>
      </c>
      <c r="D414" s="7" t="n">
        <v>51.47058823529412</v>
      </c>
      <c r="E414" s="7" t="n">
        <v>105.0361336665702</v>
      </c>
      <c r="F414" s="7">
        <f>D414-E414</f>
        <v/>
      </c>
      <c r="G414" s="7">
        <f>ABS(F414)</f>
        <v/>
      </c>
      <c r="H414" s="7">
        <f>F414^2</f>
        <v/>
      </c>
      <c r="I414" s="7" t="n">
        <v>121518</v>
      </c>
      <c r="J414" s="7" t="n">
        <v>0</v>
      </c>
      <c r="K414" s="7" t="n">
        <v>34.6</v>
      </c>
      <c r="L414" s="7" t="n">
        <v>31.5</v>
      </c>
    </row>
    <row r="415">
      <c r="A415" s="7" t="inlineStr">
        <is>
          <t>99037</t>
        </is>
      </c>
      <c r="B415" s="7" t="inlineStr">
        <is>
          <t>Spokane Valley</t>
        </is>
      </c>
      <c r="C415" s="7" t="inlineStr">
        <is>
          <t>Spokane</t>
        </is>
      </c>
      <c r="D415" s="7" t="n">
        <v>40.62758051197358</v>
      </c>
      <c r="E415" s="7" t="n">
        <v>52.85399149348388</v>
      </c>
      <c r="F415" s="7">
        <f>D415-E415</f>
        <v/>
      </c>
      <c r="G415" s="7">
        <f>ABS(F415)</f>
        <v/>
      </c>
      <c r="H415" s="7">
        <f>F415^2</f>
        <v/>
      </c>
      <c r="I415" s="7" t="n">
        <v>87713</v>
      </c>
      <c r="J415" s="7" t="n">
        <v>25.54913294797688</v>
      </c>
      <c r="K415" s="7" t="n">
        <v>12</v>
      </c>
      <c r="L415" s="7" t="n">
        <v>21.3</v>
      </c>
    </row>
    <row r="416">
      <c r="A416" s="7" t="inlineStr">
        <is>
          <t>99039</t>
        </is>
      </c>
      <c r="B416" s="7" t="inlineStr">
        <is>
          <t>Waverly</t>
        </is>
      </c>
      <c r="C416" s="7" t="inlineStr">
        <is>
          <t>Spokane</t>
        </is>
      </c>
      <c r="D416" s="7" t="n">
        <v>16.66666666666667</v>
      </c>
      <c r="E416" s="7" t="n">
        <v>13.16418495727777</v>
      </c>
      <c r="F416" s="7">
        <f>D416-E416</f>
        <v/>
      </c>
      <c r="G416" s="7">
        <f>ABS(F416)</f>
        <v/>
      </c>
      <c r="H416" s="7">
        <f>F416^2</f>
        <v/>
      </c>
      <c r="I416" s="7" t="n">
        <v>65909</v>
      </c>
      <c r="J416" s="7" t="n">
        <v>1.666666666666667</v>
      </c>
      <c r="K416" s="7" t="n">
        <v>1</v>
      </c>
      <c r="L416" s="7" t="n">
        <v>27.3</v>
      </c>
    </row>
    <row r="417">
      <c r="A417" s="7" t="inlineStr">
        <is>
          <t>99040</t>
        </is>
      </c>
      <c r="B417" s="7" t="inlineStr">
        <is>
          <t>Wellpinit</t>
        </is>
      </c>
      <c r="C417" s="7" t="inlineStr">
        <is>
          <t>Stevens</t>
        </is>
      </c>
      <c r="D417" s="7" t="n">
        <v>10.1010101010101</v>
      </c>
      <c r="E417" s="7" t="n">
        <v>16.59072391746155</v>
      </c>
      <c r="F417" s="7">
        <f>D417-E417</f>
        <v/>
      </c>
      <c r="G417" s="7">
        <f>ABS(F417)</f>
        <v/>
      </c>
      <c r="H417" s="7">
        <f>F417^2</f>
        <v/>
      </c>
      <c r="I417" s="7" t="n">
        <v>70200</v>
      </c>
      <c r="J417" s="7" t="n">
        <v>3.367003367003367</v>
      </c>
      <c r="K417" s="7" t="n">
        <v>2.9</v>
      </c>
      <c r="L417" s="7" t="n">
        <v>14.7</v>
      </c>
    </row>
    <row r="418">
      <c r="A418" s="7" t="inlineStr">
        <is>
          <t>99101</t>
        </is>
      </c>
      <c r="B418" s="7" t="inlineStr">
        <is>
          <t>Addy</t>
        </is>
      </c>
      <c r="C418" s="7" t="inlineStr">
        <is>
          <t>Stevens</t>
        </is>
      </c>
      <c r="D418" s="7" t="n">
        <v>10.94391244870041</v>
      </c>
      <c r="E418" s="7" t="n">
        <v>36.77516739647765</v>
      </c>
      <c r="F418" s="7">
        <f>D418-E418</f>
        <v/>
      </c>
      <c r="G418" s="7">
        <f>ABS(F418)</f>
        <v/>
      </c>
      <c r="H418" s="7">
        <f>F418^2</f>
        <v/>
      </c>
      <c r="I418" s="7" t="n">
        <v>78750</v>
      </c>
      <c r="J418" s="7" t="n">
        <v>0</v>
      </c>
      <c r="K418" s="7" t="n">
        <v>13.8</v>
      </c>
      <c r="L418" s="7" t="n">
        <v>25.9</v>
      </c>
    </row>
    <row r="419">
      <c r="A419" s="7" t="inlineStr">
        <is>
          <t>99102</t>
        </is>
      </c>
      <c r="B419" s="7" t="inlineStr">
        <is>
          <t>Albion</t>
        </is>
      </c>
      <c r="C419" s="7" t="inlineStr">
        <is>
          <t>Whitman</t>
        </is>
      </c>
      <c r="D419" s="7" t="n">
        <v>4.065040650406504</v>
      </c>
      <c r="E419" s="7" t="n">
        <v>4.973571211754106</v>
      </c>
      <c r="F419" s="7">
        <f>D419-E419</f>
        <v/>
      </c>
      <c r="G419" s="7">
        <f>ABS(F419)</f>
        <v/>
      </c>
      <c r="H419" s="7">
        <f>F419^2</f>
        <v/>
      </c>
      <c r="I419" s="7" t="n">
        <v>56833</v>
      </c>
      <c r="J419" s="7" t="n">
        <v>5.691056910569105</v>
      </c>
      <c r="K419" s="7" t="n">
        <v>4.5</v>
      </c>
      <c r="L419" s="7" t="n">
        <v>19</v>
      </c>
    </row>
    <row r="420">
      <c r="A420" s="7" t="inlineStr">
        <is>
          <t>99103</t>
        </is>
      </c>
      <c r="B420" s="7" t="inlineStr">
        <is>
          <t>Almira</t>
        </is>
      </c>
      <c r="C420" s="7" t="inlineStr">
        <is>
          <t>Lincoln</t>
        </is>
      </c>
      <c r="D420" s="7" t="n">
        <v>11.11111111111111</v>
      </c>
      <c r="E420" s="7" t="n">
        <v>28.01314086135598</v>
      </c>
      <c r="F420" s="7">
        <f>D420-E420</f>
        <v/>
      </c>
      <c r="G420" s="7">
        <f>ABS(F420)</f>
        <v/>
      </c>
      <c r="H420" s="7">
        <f>F420^2</f>
        <v/>
      </c>
      <c r="I420" s="7" t="n">
        <v>53125</v>
      </c>
      <c r="J420" s="7" t="n">
        <v>8.518518518518519</v>
      </c>
      <c r="K420" s="7" t="n">
        <v>24.3</v>
      </c>
      <c r="L420" s="7" t="n">
        <v>29.4</v>
      </c>
    </row>
    <row r="421">
      <c r="A421" s="7" t="inlineStr">
        <is>
          <t>99109</t>
        </is>
      </c>
      <c r="B421" s="7" t="inlineStr">
        <is>
          <t>Chewelah</t>
        </is>
      </c>
      <c r="C421" s="7" t="inlineStr">
        <is>
          <t>Stevens</t>
        </is>
      </c>
      <c r="D421" s="7" t="n">
        <v>13.94647568790049</v>
      </c>
      <c r="E421" s="7" t="n">
        <v>20.00489176244239</v>
      </c>
      <c r="F421" s="7">
        <f>D421-E421</f>
        <v/>
      </c>
      <c r="G421" s="7">
        <f>ABS(F421)</f>
        <v/>
      </c>
      <c r="H421" s="7">
        <f>F421^2</f>
        <v/>
      </c>
      <c r="I421" s="7" t="n">
        <v>62391</v>
      </c>
      <c r="J421" s="7" t="n">
        <v>6.407840180927252</v>
      </c>
      <c r="K421" s="7" t="n">
        <v>11.1</v>
      </c>
      <c r="L421" s="7" t="n">
        <v>22.1</v>
      </c>
    </row>
    <row r="422">
      <c r="A422" s="7" t="inlineStr">
        <is>
          <t>99110</t>
        </is>
      </c>
      <c r="B422" s="7" t="inlineStr">
        <is>
          <t>Clayton</t>
        </is>
      </c>
      <c r="C422" s="7" t="inlineStr">
        <is>
          <t>Stevens</t>
        </is>
      </c>
      <c r="D422" s="7" t="n">
        <v>26.62229617304493</v>
      </c>
      <c r="E422" s="7" t="n">
        <v>29.80576361847824</v>
      </c>
      <c r="F422" s="7">
        <f>D422-E422</f>
        <v/>
      </c>
      <c r="G422" s="7">
        <f>ABS(F422)</f>
        <v/>
      </c>
      <c r="H422" s="7">
        <f>F422^2</f>
        <v/>
      </c>
      <c r="I422" s="7" t="n">
        <v>76106</v>
      </c>
      <c r="J422" s="7" t="n">
        <v>0</v>
      </c>
      <c r="K422" s="7" t="n">
        <v>4.9</v>
      </c>
      <c r="L422" s="7" t="n">
        <v>38.6</v>
      </c>
    </row>
    <row r="423">
      <c r="A423" s="7" t="inlineStr">
        <is>
          <t>99111</t>
        </is>
      </c>
      <c r="B423" s="7" t="inlineStr">
        <is>
          <t>Colfax</t>
        </is>
      </c>
      <c r="C423" s="7" t="inlineStr">
        <is>
          <t>Whitman</t>
        </is>
      </c>
      <c r="D423" s="7" t="n">
        <v>19.15113871635611</v>
      </c>
      <c r="E423" s="7" t="n">
        <v>31.52013307325117</v>
      </c>
      <c r="F423" s="7">
        <f>D423-E423</f>
        <v/>
      </c>
      <c r="G423" s="7">
        <f>ABS(F423)</f>
        <v/>
      </c>
      <c r="H423" s="7">
        <f>F423^2</f>
        <v/>
      </c>
      <c r="I423" s="7" t="n">
        <v>73393</v>
      </c>
      <c r="J423" s="7" t="n">
        <v>23.34368530020704</v>
      </c>
      <c r="K423" s="7" t="n">
        <v>7.4</v>
      </c>
      <c r="L423" s="7" t="n">
        <v>17.8</v>
      </c>
    </row>
    <row r="424">
      <c r="A424" s="7" t="inlineStr">
        <is>
          <t>99113</t>
        </is>
      </c>
      <c r="B424" s="7" t="inlineStr">
        <is>
          <t>Colton</t>
        </is>
      </c>
      <c r="C424" s="7" t="inlineStr">
        <is>
          <t>Whitman</t>
        </is>
      </c>
      <c r="D424" s="7" t="n">
        <v>33.70786516853933</v>
      </c>
      <c r="E424" s="7" t="n">
        <v>63.74341228195103</v>
      </c>
      <c r="F424" s="7">
        <f>D424-E424</f>
        <v/>
      </c>
      <c r="G424" s="7">
        <f>ABS(F424)</f>
        <v/>
      </c>
      <c r="H424" s="7">
        <f>F424^2</f>
        <v/>
      </c>
      <c r="I424" s="7" t="n">
        <v>104643</v>
      </c>
      <c r="J424" s="7" t="n">
        <v>0.3745318352059925</v>
      </c>
      <c r="K424" s="7" t="n">
        <v>13.7</v>
      </c>
      <c r="L424" s="7" t="n">
        <v>22.7</v>
      </c>
    </row>
    <row r="425">
      <c r="A425" s="7" t="inlineStr">
        <is>
          <t>99114</t>
        </is>
      </c>
      <c r="B425" s="7" t="inlineStr">
        <is>
          <t>Colville</t>
        </is>
      </c>
      <c r="C425" s="7" t="inlineStr">
        <is>
          <t>Stevens</t>
        </is>
      </c>
      <c r="D425" s="7" t="n">
        <v>14.12746829346604</v>
      </c>
      <c r="E425" s="7" t="n">
        <v>20.99516448082995</v>
      </c>
      <c r="F425" s="7">
        <f>D425-E425</f>
        <v/>
      </c>
      <c r="G425" s="7">
        <f>ABS(F425)</f>
        <v/>
      </c>
      <c r="H425" s="7">
        <f>F425^2</f>
        <v/>
      </c>
      <c r="I425" s="7" t="n">
        <v>62711</v>
      </c>
      <c r="J425" s="7" t="n">
        <v>9.953443570396532</v>
      </c>
      <c r="K425" s="7" t="n">
        <v>10.2</v>
      </c>
      <c r="L425" s="7" t="n">
        <v>19.6</v>
      </c>
    </row>
    <row r="426">
      <c r="A426" s="7" t="inlineStr">
        <is>
          <t>99115</t>
        </is>
      </c>
      <c r="B426" s="7" t="inlineStr">
        <is>
          <t>Coulee City</t>
        </is>
      </c>
      <c r="C426" s="7" t="inlineStr">
        <is>
          <t>Grant</t>
        </is>
      </c>
      <c r="D426" s="7" t="n">
        <v>24.43991853360489</v>
      </c>
      <c r="E426" s="7" t="n">
        <v>21.73142841667863</v>
      </c>
      <c r="F426" s="7">
        <f>D426-E426</f>
        <v/>
      </c>
      <c r="G426" s="7">
        <f>ABS(F426)</f>
        <v/>
      </c>
      <c r="H426" s="7">
        <f>F426^2</f>
        <v/>
      </c>
      <c r="I426" s="7" t="n">
        <v>62708</v>
      </c>
      <c r="J426" s="7" t="n">
        <v>2.545824847250509</v>
      </c>
      <c r="K426" s="7" t="n">
        <v>12.1</v>
      </c>
      <c r="L426" s="7" t="n">
        <v>26.5</v>
      </c>
    </row>
    <row r="427">
      <c r="A427" s="7" t="inlineStr">
        <is>
          <t>99116</t>
        </is>
      </c>
      <c r="B427" s="7" t="inlineStr">
        <is>
          <t>Coulee Dam</t>
        </is>
      </c>
      <c r="C427" s="7" t="inlineStr">
        <is>
          <t>Okanogan</t>
        </is>
      </c>
      <c r="D427" s="7" t="n">
        <v>12.73148148148148</v>
      </c>
      <c r="E427" s="7" t="n">
        <v>23.87923638039694</v>
      </c>
      <c r="F427" s="7">
        <f>D427-E427</f>
        <v/>
      </c>
      <c r="G427" s="7">
        <f>ABS(F427)</f>
        <v/>
      </c>
      <c r="H427" s="7">
        <f>F427^2</f>
        <v/>
      </c>
      <c r="I427" s="7" t="n">
        <v>65946</v>
      </c>
      <c r="J427" s="7" t="n">
        <v>13.31018518518519</v>
      </c>
      <c r="K427" s="7" t="n">
        <v>9.800000000000001</v>
      </c>
      <c r="L427" s="7" t="n">
        <v>16.1</v>
      </c>
    </row>
    <row r="428">
      <c r="A428" s="7" t="inlineStr">
        <is>
          <t>99117</t>
        </is>
      </c>
      <c r="B428" s="7" t="inlineStr">
        <is>
          <t>Creston</t>
        </is>
      </c>
      <c r="C428" s="7" t="inlineStr">
        <is>
          <t>Lincoln</t>
        </is>
      </c>
      <c r="D428" s="7" t="n">
        <v>11.07011070110701</v>
      </c>
      <c r="E428" s="7" t="n">
        <v>21.37921644283504</v>
      </c>
      <c r="F428" s="7">
        <f>D428-E428</f>
        <v/>
      </c>
      <c r="G428" s="7">
        <f>ABS(F428)</f>
        <v/>
      </c>
      <c r="H428" s="7">
        <f>F428^2</f>
        <v/>
      </c>
      <c r="I428" s="7" t="n">
        <v>63750</v>
      </c>
      <c r="J428" s="7" t="n">
        <v>4.059040590405904</v>
      </c>
      <c r="K428" s="7" t="n">
        <v>8</v>
      </c>
      <c r="L428" s="7" t="n">
        <v>34.3</v>
      </c>
    </row>
    <row r="429">
      <c r="A429" s="7" t="inlineStr">
        <is>
          <t>99118</t>
        </is>
      </c>
      <c r="B429" s="7" t="inlineStr">
        <is>
          <t>Curlew</t>
        </is>
      </c>
      <c r="C429" s="7" t="inlineStr">
        <is>
          <t>Ferry</t>
        </is>
      </c>
      <c r="D429" s="7" t="n">
        <v>21.69625246548323</v>
      </c>
      <c r="E429" s="7" t="n">
        <v>15.94116951420314</v>
      </c>
      <c r="F429" s="7">
        <f>D429-E429</f>
        <v/>
      </c>
      <c r="G429" s="7">
        <f>ABS(F429)</f>
        <v/>
      </c>
      <c r="H429" s="7">
        <f>F429^2</f>
        <v/>
      </c>
      <c r="I429" s="7" t="n">
        <v>68875</v>
      </c>
      <c r="J429" s="7" t="n">
        <v>0</v>
      </c>
      <c r="K429" s="7" t="n">
        <v>2.1</v>
      </c>
      <c r="L429" s="7" t="n">
        <v>27.1</v>
      </c>
    </row>
    <row r="430">
      <c r="A430" s="7" t="inlineStr">
        <is>
          <t>99119</t>
        </is>
      </c>
      <c r="B430" s="7" t="inlineStr">
        <is>
          <t>Cusick</t>
        </is>
      </c>
      <c r="C430" s="7" t="inlineStr">
        <is>
          <t>Pend Oreille</t>
        </is>
      </c>
      <c r="D430" s="7" t="n">
        <v>9.389671361502348</v>
      </c>
      <c r="E430" s="7" t="n">
        <v>46.31332434105393</v>
      </c>
      <c r="F430" s="7">
        <f>D430-E430</f>
        <v/>
      </c>
      <c r="G430" s="7">
        <f>ABS(F430)</f>
        <v/>
      </c>
      <c r="H430" s="7">
        <f>F430^2</f>
        <v/>
      </c>
      <c r="I430" s="7" t="n">
        <v>95385</v>
      </c>
      <c r="J430" s="7" t="n">
        <v>0</v>
      </c>
      <c r="K430" s="7" t="n">
        <v>7.1</v>
      </c>
      <c r="L430" s="7" t="n">
        <v>23.2</v>
      </c>
    </row>
    <row r="431">
      <c r="A431" s="7" t="inlineStr">
        <is>
          <t>99122</t>
        </is>
      </c>
      <c r="B431" s="7" t="inlineStr">
        <is>
          <t>Davenport</t>
        </is>
      </c>
      <c r="C431" s="7" t="inlineStr">
        <is>
          <t>Lincoln</t>
        </is>
      </c>
      <c r="D431" s="7" t="n">
        <v>19.84663960306721</v>
      </c>
      <c r="E431" s="7" t="n">
        <v>45.72361488846769</v>
      </c>
      <c r="F431" s="7">
        <f>D431-E431</f>
        <v/>
      </c>
      <c r="G431" s="7">
        <f>ABS(F431)</f>
        <v/>
      </c>
      <c r="H431" s="7">
        <f>F431^2</f>
        <v/>
      </c>
      <c r="I431" s="7" t="n">
        <v>82386</v>
      </c>
      <c r="J431" s="7" t="n">
        <v>4.826341903473162</v>
      </c>
      <c r="K431" s="7" t="n">
        <v>15.7</v>
      </c>
      <c r="L431" s="7" t="n">
        <v>27.3</v>
      </c>
    </row>
    <row r="432">
      <c r="A432" s="7" t="inlineStr">
        <is>
          <t>99123</t>
        </is>
      </c>
      <c r="B432" s="7" t="inlineStr">
        <is>
          <t>Electric City</t>
        </is>
      </c>
      <c r="C432" s="7" t="inlineStr">
        <is>
          <t>Grant</t>
        </is>
      </c>
      <c r="D432" s="7" t="n">
        <v>17.44186046511628</v>
      </c>
      <c r="E432" s="7" t="n">
        <v>44.89686116405887</v>
      </c>
      <c r="F432" s="7">
        <f>D432-E432</f>
        <v/>
      </c>
      <c r="G432" s="7">
        <f>ABS(F432)</f>
        <v/>
      </c>
      <c r="H432" s="7">
        <f>F432^2</f>
        <v/>
      </c>
      <c r="I432" s="7" t="n">
        <v>87841</v>
      </c>
      <c r="J432" s="7" t="n">
        <v>0</v>
      </c>
      <c r="K432" s="7" t="n">
        <v>13.5</v>
      </c>
      <c r="L432" s="7" t="n">
        <v>15.4</v>
      </c>
    </row>
    <row r="433">
      <c r="A433" s="7" t="inlineStr">
        <is>
          <t>99124</t>
        </is>
      </c>
      <c r="B433" s="7" t="inlineStr">
        <is>
          <t>Elmer City</t>
        </is>
      </c>
      <c r="C433" s="7" t="inlineStr">
        <is>
          <t>Okanogan</t>
        </is>
      </c>
      <c r="D433" s="7" t="n">
        <v>12.90322580645161</v>
      </c>
      <c r="E433" s="7" t="n">
        <v>18.24934487621407</v>
      </c>
      <c r="F433" s="7">
        <f>D433-E433</f>
        <v/>
      </c>
      <c r="G433" s="7">
        <f>ABS(F433)</f>
        <v/>
      </c>
      <c r="H433" s="7">
        <f>F433^2</f>
        <v/>
      </c>
      <c r="I433" s="7" t="n">
        <v>70000</v>
      </c>
      <c r="J433" s="7" t="n">
        <v>6.451612903225806</v>
      </c>
      <c r="K433" s="7" t="n">
        <v>4.8</v>
      </c>
      <c r="L433" s="7" t="n">
        <v>15.1</v>
      </c>
    </row>
    <row r="434">
      <c r="A434" s="7" t="inlineStr">
        <is>
          <t>99125</t>
        </is>
      </c>
      <c r="B434" s="7" t="inlineStr">
        <is>
          <t>Endicott</t>
        </is>
      </c>
      <c r="C434" s="7" t="inlineStr">
        <is>
          <t>Whitman</t>
        </is>
      </c>
      <c r="D434" s="7" t="n">
        <v>15.72327044025157</v>
      </c>
      <c r="E434" s="7" t="n">
        <v>4.31499864446203</v>
      </c>
      <c r="F434" s="7">
        <f>D434-E434</f>
        <v/>
      </c>
      <c r="G434" s="7">
        <f>ABS(F434)</f>
        <v/>
      </c>
      <c r="H434" s="7">
        <f>F434^2</f>
        <v/>
      </c>
      <c r="I434" s="7" t="n">
        <v>52569</v>
      </c>
      <c r="J434" s="7" t="n">
        <v>0</v>
      </c>
      <c r="K434" s="7" t="n">
        <v>8.4</v>
      </c>
      <c r="L434" s="7" t="n">
        <v>25.4</v>
      </c>
    </row>
    <row r="435">
      <c r="A435" s="7" t="inlineStr">
        <is>
          <t>99128</t>
        </is>
      </c>
      <c r="B435" s="7" t="inlineStr">
        <is>
          <t>Farmington</t>
        </is>
      </c>
      <c r="C435" s="7" t="inlineStr">
        <is>
          <t>Whitman</t>
        </is>
      </c>
      <c r="D435" s="7" t="n">
        <v>12.65822784810127</v>
      </c>
      <c r="E435" s="7" t="n">
        <v>25.11649117837496</v>
      </c>
      <c r="F435" s="7">
        <f>D435-E435</f>
        <v/>
      </c>
      <c r="G435" s="7">
        <f>ABS(F435)</f>
        <v/>
      </c>
      <c r="H435" s="7">
        <f>F435^2</f>
        <v/>
      </c>
      <c r="I435" s="7" t="n">
        <v>58942</v>
      </c>
      <c r="J435" s="7" t="n">
        <v>0</v>
      </c>
      <c r="K435" s="7" t="n">
        <v>23.1</v>
      </c>
      <c r="L435" s="7" t="n">
        <v>20.8</v>
      </c>
    </row>
    <row r="436">
      <c r="A436" s="7" t="inlineStr">
        <is>
          <t>99129</t>
        </is>
      </c>
      <c r="B436" s="7" t="inlineStr">
        <is>
          <t>Fruitland</t>
        </is>
      </c>
      <c r="C436" s="7" t="inlineStr">
        <is>
          <t>Stevens</t>
        </is>
      </c>
      <c r="D436" s="7" t="n">
        <v>2.386634844868735</v>
      </c>
      <c r="E436" s="7" t="n">
        <v>6.14006717732989</v>
      </c>
      <c r="F436" s="7">
        <f>D436-E436</f>
        <v/>
      </c>
      <c r="G436" s="7">
        <f>ABS(F436)</f>
        <v/>
      </c>
      <c r="H436" s="7">
        <f>F436^2</f>
        <v/>
      </c>
      <c r="I436" s="7" t="n">
        <v>40938</v>
      </c>
      <c r="J436" s="7" t="n">
        <v>2.386634844868735</v>
      </c>
      <c r="K436" s="7" t="n">
        <v>14.6</v>
      </c>
      <c r="L436" s="7" t="n">
        <v>34.2</v>
      </c>
    </row>
    <row r="437">
      <c r="A437" s="7" t="inlineStr">
        <is>
          <t>99130</t>
        </is>
      </c>
      <c r="B437" s="7" t="inlineStr">
        <is>
          <t>Garfield</t>
        </is>
      </c>
      <c r="C437" s="7" t="inlineStr">
        <is>
          <t>Whitman</t>
        </is>
      </c>
      <c r="D437" s="7" t="n">
        <v>13.88888888888889</v>
      </c>
      <c r="E437" s="7" t="n">
        <v>31.36593444923397</v>
      </c>
      <c r="F437" s="7">
        <f>D437-E437</f>
        <v/>
      </c>
      <c r="G437" s="7">
        <f>ABS(F437)</f>
        <v/>
      </c>
      <c r="H437" s="7">
        <f>F437^2</f>
        <v/>
      </c>
      <c r="I437" s="7" t="n">
        <v>82000</v>
      </c>
      <c r="J437" s="7" t="n">
        <v>11.45833333333333</v>
      </c>
      <c r="K437" s="7" t="n">
        <v>1.1</v>
      </c>
      <c r="L437" s="7" t="n">
        <v>26</v>
      </c>
    </row>
    <row r="438">
      <c r="A438" s="7" t="inlineStr">
        <is>
          <t>99133</t>
        </is>
      </c>
      <c r="B438" s="7" t="inlineStr">
        <is>
          <t>Grand Coulee</t>
        </is>
      </c>
      <c r="C438" s="7" t="inlineStr">
        <is>
          <t>Grant</t>
        </is>
      </c>
      <c r="D438" s="7" t="n">
        <v>19.15184678522572</v>
      </c>
      <c r="E438" s="7" t="n">
        <v>29.15403510612845</v>
      </c>
      <c r="F438" s="7">
        <f>D438-E438</f>
        <v/>
      </c>
      <c r="G438" s="7">
        <f>ABS(F438)</f>
        <v/>
      </c>
      <c r="H438" s="7">
        <f>F438^2</f>
        <v/>
      </c>
      <c r="I438" s="7" t="n">
        <v>68854</v>
      </c>
      <c r="J438" s="7" t="n">
        <v>17.64705882352941</v>
      </c>
      <c r="K438" s="7" t="n">
        <v>11.3</v>
      </c>
      <c r="L438" s="7" t="n">
        <v>15.7</v>
      </c>
    </row>
    <row r="439">
      <c r="A439" s="7" t="inlineStr">
        <is>
          <t>99134</t>
        </is>
      </c>
      <c r="B439" s="7" t="inlineStr">
        <is>
          <t>Harrington</t>
        </is>
      </c>
      <c r="C439" s="7" t="inlineStr">
        <is>
          <t>Lincoln</t>
        </is>
      </c>
      <c r="D439" s="7" t="n">
        <v>9.46372239747634</v>
      </c>
      <c r="E439" s="7" t="n">
        <v>-2.459426068333961</v>
      </c>
      <c r="F439" s="7">
        <f>D439-E439</f>
        <v/>
      </c>
      <c r="G439" s="7">
        <f>ABS(F439)</f>
        <v/>
      </c>
      <c r="H439" s="7">
        <f>F439^2</f>
        <v/>
      </c>
      <c r="I439" s="7" t="n">
        <v>41774</v>
      </c>
      <c r="J439" s="7" t="n">
        <v>7.886435331230284</v>
      </c>
      <c r="K439" s="7" t="n">
        <v>8</v>
      </c>
      <c r="L439" s="7" t="n">
        <v>23.8</v>
      </c>
    </row>
    <row r="440">
      <c r="A440" s="7" t="inlineStr">
        <is>
          <t>99135</t>
        </is>
      </c>
      <c r="B440" s="7" t="inlineStr">
        <is>
          <t>Hartline</t>
        </is>
      </c>
      <c r="C440" s="7" t="inlineStr">
        <is>
          <t>Grant</t>
        </is>
      </c>
      <c r="D440" s="7" t="n">
        <v>10.25641025641026</v>
      </c>
      <c r="E440" s="7" t="n">
        <v>63.18799098700717</v>
      </c>
      <c r="F440" s="7">
        <f>D440-E440</f>
        <v/>
      </c>
      <c r="G440" s="7">
        <f>ABS(F440)</f>
        <v/>
      </c>
      <c r="H440" s="7">
        <f>F440^2</f>
        <v/>
      </c>
      <c r="I440" s="7" t="n">
        <v>80469</v>
      </c>
      <c r="J440" s="7" t="n">
        <v>0</v>
      </c>
      <c r="K440" s="7" t="n">
        <v>33.8</v>
      </c>
      <c r="L440" s="7" t="n">
        <v>34.5</v>
      </c>
    </row>
    <row r="441">
      <c r="A441" s="7" t="inlineStr">
        <is>
          <t>99137</t>
        </is>
      </c>
      <c r="B441" s="7" t="inlineStr">
        <is>
          <t>Hunters</t>
        </is>
      </c>
      <c r="C441" s="7" t="inlineStr">
        <is>
          <t>Stevens</t>
        </is>
      </c>
      <c r="D441" s="7" t="n">
        <v>8.368200836820083</v>
      </c>
      <c r="E441" s="7" t="n">
        <v>22.48421696475607</v>
      </c>
      <c r="F441" s="7">
        <f>D441-E441</f>
        <v/>
      </c>
      <c r="G441" s="7">
        <f>ABS(F441)</f>
        <v/>
      </c>
      <c r="H441" s="7">
        <f>F441^2</f>
        <v/>
      </c>
      <c r="I441" s="7" t="n">
        <v>50972</v>
      </c>
      <c r="J441" s="7" t="n">
        <v>7.112970711297072</v>
      </c>
      <c r="K441" s="7" t="n">
        <v>19.5</v>
      </c>
      <c r="L441" s="7" t="n">
        <v>30.6</v>
      </c>
    </row>
    <row r="442">
      <c r="A442" s="7" t="inlineStr">
        <is>
          <t>99138</t>
        </is>
      </c>
      <c r="B442" s="7" t="inlineStr">
        <is>
          <t>Inchelium</t>
        </is>
      </c>
      <c r="C442" s="7" t="inlineStr">
        <is>
          <t>Ferry</t>
        </is>
      </c>
      <c r="D442" s="7" t="n">
        <v>5.970149253731344</v>
      </c>
      <c r="E442" s="7" t="n">
        <v>0.7212572452024872</v>
      </c>
      <c r="F442" s="7">
        <f>D442-E442</f>
        <v/>
      </c>
      <c r="G442" s="7">
        <f>ABS(F442)</f>
        <v/>
      </c>
      <c r="H442" s="7">
        <f>F442^2</f>
        <v/>
      </c>
      <c r="I442" s="7" t="n">
        <v>50833</v>
      </c>
      <c r="J442" s="7" t="n">
        <v>1.791044776119403</v>
      </c>
      <c r="K442" s="7" t="n">
        <v>7</v>
      </c>
      <c r="L442" s="7" t="n">
        <v>21.9</v>
      </c>
    </row>
    <row r="443">
      <c r="A443" s="7" t="inlineStr">
        <is>
          <t>99139</t>
        </is>
      </c>
      <c r="B443" s="7" t="inlineStr">
        <is>
          <t>Ione</t>
        </is>
      </c>
      <c r="C443" s="7" t="inlineStr">
        <is>
          <t>Pend Oreille</t>
        </is>
      </c>
      <c r="D443" s="7" t="n">
        <v>7.473841554559043</v>
      </c>
      <c r="E443" s="7" t="n">
        <v>4.607434739232772</v>
      </c>
      <c r="F443" s="7">
        <f>D443-E443</f>
        <v/>
      </c>
      <c r="G443" s="7">
        <f>ABS(F443)</f>
        <v/>
      </c>
      <c r="H443" s="7">
        <f>F443^2</f>
        <v/>
      </c>
      <c r="I443" s="7" t="n">
        <v>52404</v>
      </c>
      <c r="J443" s="7" t="n">
        <v>2.541106128550075</v>
      </c>
      <c r="K443" s="7" t="n">
        <v>10.2</v>
      </c>
      <c r="L443" s="7" t="n">
        <v>17.4</v>
      </c>
    </row>
    <row r="444">
      <c r="A444" s="7" t="inlineStr">
        <is>
          <t>99141</t>
        </is>
      </c>
      <c r="B444" s="7" t="inlineStr">
        <is>
          <t>Kettle Falls</t>
        </is>
      </c>
      <c r="C444" s="7" t="inlineStr">
        <is>
          <t>Stevens</t>
        </is>
      </c>
      <c r="D444" s="7" t="n">
        <v>18.22398939695162</v>
      </c>
      <c r="E444" s="7" t="n">
        <v>17.78097322673469</v>
      </c>
      <c r="F444" s="7">
        <f>D444-E444</f>
        <v/>
      </c>
      <c r="G444" s="7">
        <f>ABS(F444)</f>
        <v/>
      </c>
      <c r="H444" s="7">
        <f>F444^2</f>
        <v/>
      </c>
      <c r="I444" s="7" t="n">
        <v>58302</v>
      </c>
      <c r="J444" s="7" t="n">
        <v>8.681245858184228</v>
      </c>
      <c r="K444" s="7" t="n">
        <v>11.3</v>
      </c>
      <c r="L444" s="7" t="n">
        <v>23.8</v>
      </c>
    </row>
    <row r="445">
      <c r="A445" s="7" t="inlineStr">
        <is>
          <t>99143</t>
        </is>
      </c>
      <c r="B445" s="7" t="inlineStr">
        <is>
          <t>Lacrosse</t>
        </is>
      </c>
      <c r="C445" s="7" t="inlineStr">
        <is>
          <t>Whitman</t>
        </is>
      </c>
      <c r="D445" s="7" t="n">
        <v>6.309148264984227</v>
      </c>
      <c r="E445" s="7" t="n">
        <v>-1.193513603127215</v>
      </c>
      <c r="F445" s="7">
        <f>D445-E445</f>
        <v/>
      </c>
      <c r="G445" s="7">
        <f>ABS(F445)</f>
        <v/>
      </c>
      <c r="H445" s="7">
        <f>F445^2</f>
        <v/>
      </c>
      <c r="I445" s="7" t="n">
        <v>38214</v>
      </c>
      <c r="J445" s="7" t="n">
        <v>2.523659305993691</v>
      </c>
      <c r="K445" s="7" t="n">
        <v>14.6</v>
      </c>
      <c r="L445" s="7" t="n">
        <v>24.4</v>
      </c>
    </row>
    <row r="446">
      <c r="A446" s="7" t="inlineStr">
        <is>
          <t>99148</t>
        </is>
      </c>
      <c r="B446" s="7" t="inlineStr">
        <is>
          <t>Loon Lake</t>
        </is>
      </c>
      <c r="C446" s="7" t="inlineStr">
        <is>
          <t>Stevens</t>
        </is>
      </c>
      <c r="D446" s="7" t="n">
        <v>15.49295774647887</v>
      </c>
      <c r="E446" s="7" t="n">
        <v>37.22400556863312</v>
      </c>
      <c r="F446" s="7">
        <f>D446-E446</f>
        <v/>
      </c>
      <c r="G446" s="7">
        <f>ABS(F446)</f>
        <v/>
      </c>
      <c r="H446" s="7">
        <f>F446^2</f>
        <v/>
      </c>
      <c r="I446" s="7" t="n">
        <v>67431</v>
      </c>
      <c r="J446" s="7" t="n">
        <v>0.9859154929577465</v>
      </c>
      <c r="K446" s="7" t="n">
        <v>19.3</v>
      </c>
      <c r="L446" s="7" t="n">
        <v>36.7</v>
      </c>
    </row>
    <row r="447">
      <c r="A447" s="7" t="inlineStr">
        <is>
          <t>99150</t>
        </is>
      </c>
      <c r="B447" s="7" t="inlineStr">
        <is>
          <t>Malo</t>
        </is>
      </c>
      <c r="C447" s="7" t="inlineStr">
        <is>
          <t>Ferry</t>
        </is>
      </c>
      <c r="D447" s="7" t="n">
        <v>11.29943502824859</v>
      </c>
      <c r="E447" s="7" t="n">
        <v>50.875438911036</v>
      </c>
      <c r="F447" s="7">
        <f>D447-E447</f>
        <v/>
      </c>
      <c r="G447" s="7">
        <f>ABS(F447)</f>
        <v/>
      </c>
      <c r="H447" s="7">
        <f>F447^2</f>
        <v/>
      </c>
      <c r="I447" s="7" t="n">
        <v>61833</v>
      </c>
      <c r="J447" s="7" t="n">
        <v>0</v>
      </c>
      <c r="K447" s="7" t="n">
        <v>39.6</v>
      </c>
      <c r="L447" s="7" t="n">
        <v>18.9</v>
      </c>
    </row>
    <row r="448">
      <c r="A448" s="7" t="inlineStr">
        <is>
          <t>99152</t>
        </is>
      </c>
      <c r="B448" s="7" t="inlineStr">
        <is>
          <t>Metaline</t>
        </is>
      </c>
      <c r="C448" s="7" t="inlineStr">
        <is>
          <t>Pend Oreille</t>
        </is>
      </c>
      <c r="D448" s="7" t="n">
        <v>19.04761904761905</v>
      </c>
      <c r="E448" s="7" t="n">
        <v>16.26753939795152</v>
      </c>
      <c r="F448" s="7">
        <f>D448-E448</f>
        <v/>
      </c>
      <c r="G448" s="7">
        <f>ABS(F448)</f>
        <v/>
      </c>
      <c r="H448" s="7">
        <f>F448^2</f>
        <v/>
      </c>
      <c r="I448" s="7" t="n">
        <v>66250</v>
      </c>
      <c r="J448" s="7" t="n">
        <v>0</v>
      </c>
      <c r="K448" s="7" t="n">
        <v>6.7</v>
      </c>
      <c r="L448" s="7" t="n">
        <v>17.8</v>
      </c>
    </row>
    <row r="449">
      <c r="A449" s="7" t="inlineStr">
        <is>
          <t>99155</t>
        </is>
      </c>
      <c r="B449" s="7" t="inlineStr">
        <is>
          <t>Nespelem</t>
        </is>
      </c>
      <c r="C449" s="7" t="inlineStr">
        <is>
          <t>Okanogan</t>
        </is>
      </c>
      <c r="D449" s="7" t="n">
        <v>4.842615012106537</v>
      </c>
      <c r="E449" s="7" t="n">
        <v>-1.167671568401502</v>
      </c>
      <c r="F449" s="7">
        <f>D449-E449</f>
        <v/>
      </c>
      <c r="G449" s="7">
        <f>ABS(F449)</f>
        <v/>
      </c>
      <c r="H449" s="7">
        <f>F449^2</f>
        <v/>
      </c>
      <c r="I449" s="7" t="n">
        <v>50909</v>
      </c>
      <c r="J449" s="7" t="n">
        <v>10.16949152542373</v>
      </c>
      <c r="K449" s="7" t="n">
        <v>4.1</v>
      </c>
      <c r="L449" s="7" t="n">
        <v>17.6</v>
      </c>
    </row>
    <row r="450">
      <c r="A450" s="7" t="inlineStr">
        <is>
          <t>99156</t>
        </is>
      </c>
      <c r="B450" s="7" t="inlineStr">
        <is>
          <t>Newport</t>
        </is>
      </c>
      <c r="C450" s="7" t="inlineStr">
        <is>
          <t>Pend Oreille</t>
        </is>
      </c>
      <c r="D450" s="7" t="n">
        <v>17.11102268205332</v>
      </c>
      <c r="E450" s="7" t="n">
        <v>30.93293992313313</v>
      </c>
      <c r="F450" s="7">
        <f>D450-E450</f>
        <v/>
      </c>
      <c r="G450" s="7">
        <f>ABS(F450)</f>
        <v/>
      </c>
      <c r="H450" s="7">
        <f>F450^2</f>
        <v/>
      </c>
      <c r="I450" s="7" t="n">
        <v>65271</v>
      </c>
      <c r="J450" s="7" t="n">
        <v>7.401512136888182</v>
      </c>
      <c r="K450" s="7" t="n">
        <v>15</v>
      </c>
      <c r="L450" s="7" t="n">
        <v>31.3</v>
      </c>
    </row>
    <row r="451">
      <c r="A451" s="7" t="inlineStr">
        <is>
          <t>99157</t>
        </is>
      </c>
      <c r="B451" s="7" t="inlineStr">
        <is>
          <t>Northport</t>
        </is>
      </c>
      <c r="C451" s="7" t="inlineStr">
        <is>
          <t>Stevens</t>
        </is>
      </c>
      <c r="D451" s="7" t="n">
        <v>9.925558312655086</v>
      </c>
      <c r="E451" s="7" t="n">
        <v>-7.925897442965628</v>
      </c>
      <c r="F451" s="7">
        <f>D451-E451</f>
        <v/>
      </c>
      <c r="G451" s="7">
        <f>ABS(F451)</f>
        <v/>
      </c>
      <c r="H451" s="7">
        <f>F451^2</f>
        <v/>
      </c>
      <c r="I451" s="7" t="n">
        <v>43650</v>
      </c>
      <c r="J451" s="7" t="n">
        <v>2.233250620347394</v>
      </c>
      <c r="K451" s="7" t="n">
        <v>0</v>
      </c>
      <c r="L451" s="7" t="n">
        <v>35</v>
      </c>
    </row>
    <row r="452">
      <c r="A452" s="7" t="inlineStr">
        <is>
          <t>99158</t>
        </is>
      </c>
      <c r="B452" s="7" t="inlineStr">
        <is>
          <t>Oakesdale</t>
        </is>
      </c>
      <c r="C452" s="7" t="inlineStr">
        <is>
          <t>Whitman</t>
        </is>
      </c>
      <c r="D452" s="7" t="n">
        <v>34.04255319148936</v>
      </c>
      <c r="E452" s="7" t="n">
        <v>33.70159331089923</v>
      </c>
      <c r="F452" s="7">
        <f>D452-E452</f>
        <v/>
      </c>
      <c r="G452" s="7">
        <f>ABS(F452)</f>
        <v/>
      </c>
      <c r="H452" s="7">
        <f>F452^2</f>
        <v/>
      </c>
      <c r="I452" s="7" t="n">
        <v>78375</v>
      </c>
      <c r="J452" s="7" t="n">
        <v>0</v>
      </c>
      <c r="K452" s="7" t="n">
        <v>9.9</v>
      </c>
      <c r="L452" s="7" t="n">
        <v>30.4</v>
      </c>
    </row>
    <row r="453">
      <c r="A453" s="7" t="inlineStr">
        <is>
          <t>99159</t>
        </is>
      </c>
      <c r="B453" s="7" t="inlineStr">
        <is>
          <t>Odessa</t>
        </is>
      </c>
      <c r="C453" s="7" t="inlineStr">
        <is>
          <t>Lincoln</t>
        </is>
      </c>
      <c r="D453" s="7" t="n">
        <v>10.01430615164521</v>
      </c>
      <c r="E453" s="7" t="n">
        <v>24.89909535472792</v>
      </c>
      <c r="F453" s="7">
        <f>D453-E453</f>
        <v/>
      </c>
      <c r="G453" s="7">
        <f>ABS(F453)</f>
        <v/>
      </c>
      <c r="H453" s="7">
        <f>F453^2</f>
        <v/>
      </c>
      <c r="I453" s="7" t="n">
        <v>64688</v>
      </c>
      <c r="J453" s="7" t="n">
        <v>4.148783977110158</v>
      </c>
      <c r="K453" s="7" t="n">
        <v>17.8</v>
      </c>
      <c r="L453" s="7" t="n">
        <v>14.3</v>
      </c>
    </row>
    <row r="454">
      <c r="A454" s="7" t="inlineStr">
        <is>
          <t>99161</t>
        </is>
      </c>
      <c r="B454" s="7" t="inlineStr">
        <is>
          <t>Palouse</t>
        </is>
      </c>
      <c r="C454" s="7" t="inlineStr">
        <is>
          <t>Whitman</t>
        </is>
      </c>
      <c r="D454" s="7" t="n">
        <v>49.68944099378881</v>
      </c>
      <c r="E454" s="7" t="n">
        <v>51.13445343000588</v>
      </c>
      <c r="F454" s="7">
        <f>D454-E454</f>
        <v/>
      </c>
      <c r="G454" s="7">
        <f>ABS(F454)</f>
        <v/>
      </c>
      <c r="H454" s="7">
        <f>F454^2</f>
        <v/>
      </c>
      <c r="I454" s="7" t="n">
        <v>87464</v>
      </c>
      <c r="J454" s="7" t="n">
        <v>5.900621118012422</v>
      </c>
      <c r="K454" s="7" t="n">
        <v>15.6</v>
      </c>
      <c r="L454" s="7" t="n">
        <v>28.1</v>
      </c>
    </row>
    <row r="455">
      <c r="A455" s="7" t="inlineStr">
        <is>
          <t>99163</t>
        </is>
      </c>
      <c r="B455" s="7" t="inlineStr">
        <is>
          <t>Pullman</t>
        </is>
      </c>
      <c r="C455" s="7" t="inlineStr">
        <is>
          <t>Whitman</t>
        </is>
      </c>
      <c r="D455" s="7" t="n">
        <v>29.44885862025476</v>
      </c>
      <c r="E455" s="7" t="n">
        <v>22.49772818880598</v>
      </c>
      <c r="F455" s="7">
        <f>D455-E455</f>
        <v/>
      </c>
      <c r="G455" s="7">
        <f>ABS(F455)</f>
        <v/>
      </c>
      <c r="H455" s="7">
        <f>F455^2</f>
        <v/>
      </c>
      <c r="I455" s="7" t="n">
        <v>48231</v>
      </c>
      <c r="J455" s="7" t="n">
        <v>59.48417202673729</v>
      </c>
      <c r="K455" s="7" t="n">
        <v>10.3</v>
      </c>
      <c r="L455" s="7" t="n">
        <v>14.5</v>
      </c>
    </row>
    <row r="456">
      <c r="A456" s="7" t="inlineStr">
        <is>
          <t>99166</t>
        </is>
      </c>
      <c r="B456" s="7" t="inlineStr">
        <is>
          <t>Republic</t>
        </is>
      </c>
      <c r="C456" s="7" t="inlineStr">
        <is>
          <t>Ferry</t>
        </is>
      </c>
      <c r="D456" s="7" t="n">
        <v>13.8728323699422</v>
      </c>
      <c r="E456" s="7" t="n">
        <v>15.98258809781768</v>
      </c>
      <c r="F456" s="7">
        <f>D456-E456</f>
        <v/>
      </c>
      <c r="G456" s="7">
        <f>ABS(F456)</f>
        <v/>
      </c>
      <c r="H456" s="7">
        <f>F456^2</f>
        <v/>
      </c>
      <c r="I456" s="7" t="n">
        <v>56676</v>
      </c>
      <c r="J456" s="7" t="n">
        <v>6.994219653179192</v>
      </c>
      <c r="K456" s="7" t="n">
        <v>16.2</v>
      </c>
      <c r="L456" s="7" t="n">
        <v>12.7</v>
      </c>
    </row>
    <row r="457">
      <c r="A457" s="7" t="inlineStr">
        <is>
          <t>99167</t>
        </is>
      </c>
      <c r="B457" s="7" t="inlineStr">
        <is>
          <t>Rice</t>
        </is>
      </c>
      <c r="C457" s="7" t="inlineStr">
        <is>
          <t>Stevens</t>
        </is>
      </c>
      <c r="D457" s="7" t="n">
        <v>19.43844492440605</v>
      </c>
      <c r="E457" s="7" t="n">
        <v>25.26374656603573</v>
      </c>
      <c r="F457" s="7">
        <f>D457-E457</f>
        <v/>
      </c>
      <c r="G457" s="7">
        <f>ABS(F457)</f>
        <v/>
      </c>
      <c r="H457" s="7">
        <f>F457^2</f>
        <v/>
      </c>
      <c r="I457" s="7" t="n">
        <v>70364</v>
      </c>
      <c r="J457" s="7" t="n">
        <v>0.6479481641468683</v>
      </c>
      <c r="K457" s="7" t="n">
        <v>7</v>
      </c>
      <c r="L457" s="7" t="n">
        <v>33.3</v>
      </c>
    </row>
    <row r="458">
      <c r="A458" s="7" t="inlineStr">
        <is>
          <t>99169</t>
        </is>
      </c>
      <c r="B458" s="7" t="inlineStr">
        <is>
          <t>Ritzville</t>
        </is>
      </c>
      <c r="C458" s="7" t="inlineStr">
        <is>
          <t>Adams</t>
        </is>
      </c>
      <c r="D458" s="7" t="n">
        <v>23.5198702351987</v>
      </c>
      <c r="E458" s="7" t="n">
        <v>21.96206718680113</v>
      </c>
      <c r="F458" s="7">
        <f>D458-E458</f>
        <v/>
      </c>
      <c r="G458" s="7">
        <f>ABS(F458)</f>
        <v/>
      </c>
      <c r="H458" s="7">
        <f>F458^2</f>
        <v/>
      </c>
      <c r="I458" s="7" t="n">
        <v>66061</v>
      </c>
      <c r="J458" s="7" t="n">
        <v>9.570154095701541</v>
      </c>
      <c r="K458" s="7" t="n">
        <v>8.199999999999999</v>
      </c>
      <c r="L458" s="7" t="n">
        <v>20.2</v>
      </c>
    </row>
    <row r="459">
      <c r="A459" s="7" t="inlineStr">
        <is>
          <t>99170</t>
        </is>
      </c>
      <c r="B459" s="7" t="inlineStr">
        <is>
          <t>Rosalia</t>
        </is>
      </c>
      <c r="C459" s="7" t="inlineStr">
        <is>
          <t>Whitman</t>
        </is>
      </c>
      <c r="D459" s="7" t="n">
        <v>30.80082135523614</v>
      </c>
      <c r="E459" s="7" t="n">
        <v>19.36297649436648</v>
      </c>
      <c r="F459" s="7">
        <f>D459-E459</f>
        <v/>
      </c>
      <c r="G459" s="7">
        <f>ABS(F459)</f>
        <v/>
      </c>
      <c r="H459" s="7">
        <f>F459^2</f>
        <v/>
      </c>
      <c r="I459" s="7" t="n">
        <v>58750</v>
      </c>
      <c r="J459" s="7" t="n">
        <v>5.95482546201232</v>
      </c>
      <c r="K459" s="7" t="n">
        <v>11.3</v>
      </c>
      <c r="L459" s="7" t="n">
        <v>30.9</v>
      </c>
    </row>
    <row r="460">
      <c r="A460" s="7" t="inlineStr">
        <is>
          <t>99171</t>
        </is>
      </c>
      <c r="B460" s="7" t="inlineStr">
        <is>
          <t>St John</t>
        </is>
      </c>
      <c r="C460" s="7" t="inlineStr">
        <is>
          <t>Whitman</t>
        </is>
      </c>
      <c r="D460" s="7" t="n">
        <v>8.849557522123893</v>
      </c>
      <c r="E460" s="7" t="n">
        <v>13.98333614508872</v>
      </c>
      <c r="F460" s="7">
        <f>D460-E460</f>
        <v/>
      </c>
      <c r="G460" s="7">
        <f>ABS(F460)</f>
        <v/>
      </c>
      <c r="H460" s="7">
        <f>F460^2</f>
        <v/>
      </c>
      <c r="I460" s="7" t="n">
        <v>53333</v>
      </c>
      <c r="J460" s="7" t="n">
        <v>8.407079646017699</v>
      </c>
      <c r="K460" s="7" t="n">
        <v>13.6</v>
      </c>
      <c r="L460" s="7" t="n">
        <v>21.6</v>
      </c>
    </row>
    <row r="461">
      <c r="A461" s="7" t="inlineStr">
        <is>
          <t>99173</t>
        </is>
      </c>
      <c r="B461" s="7" t="inlineStr">
        <is>
          <t>Springdale</t>
        </is>
      </c>
      <c r="C461" s="7" t="inlineStr">
        <is>
          <t>Stevens</t>
        </is>
      </c>
      <c r="D461" s="7" t="n">
        <v>9.478672985781991</v>
      </c>
      <c r="E461" s="7" t="n">
        <v>22.68463018631664</v>
      </c>
      <c r="F461" s="7">
        <f>D461-E461</f>
        <v/>
      </c>
      <c r="G461" s="7">
        <f>ABS(F461)</f>
        <v/>
      </c>
      <c r="H461" s="7">
        <f>F461^2</f>
        <v/>
      </c>
      <c r="I461" s="7" t="n">
        <v>60000</v>
      </c>
      <c r="J461" s="7" t="n">
        <v>0</v>
      </c>
      <c r="K461" s="7" t="n">
        <v>10.1</v>
      </c>
      <c r="L461" s="7" t="n">
        <v>42.8</v>
      </c>
    </row>
    <row r="462">
      <c r="A462" s="7" t="inlineStr">
        <is>
          <t>99179</t>
        </is>
      </c>
      <c r="B462" s="7" t="inlineStr">
        <is>
          <t>Uniontown</t>
        </is>
      </c>
      <c r="C462" s="7" t="inlineStr">
        <is>
          <t>Whitman</t>
        </is>
      </c>
      <c r="D462" s="7" t="n">
        <v>20</v>
      </c>
      <c r="E462" s="7" t="n">
        <v>29.9832759327186</v>
      </c>
      <c r="F462" s="7">
        <f>D462-E462</f>
        <v/>
      </c>
      <c r="G462" s="7">
        <f>ABS(F462)</f>
        <v/>
      </c>
      <c r="H462" s="7">
        <f>F462^2</f>
        <v/>
      </c>
      <c r="I462" s="7" t="n">
        <v>79063</v>
      </c>
      <c r="J462" s="7" t="n">
        <v>2.4</v>
      </c>
      <c r="K462" s="7" t="n">
        <v>5.4</v>
      </c>
      <c r="L462" s="7" t="n">
        <v>22.6</v>
      </c>
    </row>
    <row r="463">
      <c r="A463" s="7" t="inlineStr">
        <is>
          <t>99180</t>
        </is>
      </c>
      <c r="B463" s="7" t="inlineStr">
        <is>
          <t>Usk</t>
        </is>
      </c>
      <c r="C463" s="7" t="inlineStr">
        <is>
          <t>Pend Oreille</t>
        </is>
      </c>
      <c r="D463" s="7" t="n">
        <v>14.36781609195402</v>
      </c>
      <c r="E463" s="7" t="n">
        <v>24.54458217321837</v>
      </c>
      <c r="F463" s="7">
        <f>D463-E463</f>
        <v/>
      </c>
      <c r="G463" s="7">
        <f>ABS(F463)</f>
        <v/>
      </c>
      <c r="H463" s="7">
        <f>F463^2</f>
        <v/>
      </c>
      <c r="I463" s="7" t="n">
        <v>63750</v>
      </c>
      <c r="J463" s="7" t="n">
        <v>0</v>
      </c>
      <c r="K463" s="7" t="n">
        <v>14.2</v>
      </c>
      <c r="L463" s="7" t="n">
        <v>28.2</v>
      </c>
    </row>
    <row r="464">
      <c r="A464" s="7" t="inlineStr">
        <is>
          <t>99181</t>
        </is>
      </c>
      <c r="B464" s="7" t="inlineStr">
        <is>
          <t>Valley</t>
        </is>
      </c>
      <c r="C464" s="7" t="inlineStr">
        <is>
          <t>Stevens</t>
        </is>
      </c>
      <c r="D464" s="7" t="n">
        <v>13.86481802426343</v>
      </c>
      <c r="E464" s="7" t="n">
        <v>32.7689197178231</v>
      </c>
      <c r="F464" s="7">
        <f>D464-E464</f>
        <v/>
      </c>
      <c r="G464" s="7">
        <f>ABS(F464)</f>
        <v/>
      </c>
      <c r="H464" s="7">
        <f>F464^2</f>
        <v/>
      </c>
      <c r="I464" s="7" t="n">
        <v>63661</v>
      </c>
      <c r="J464" s="7" t="n">
        <v>0.9532062391681109</v>
      </c>
      <c r="K464" s="7" t="n">
        <v>19.8</v>
      </c>
      <c r="L464" s="7" t="n">
        <v>28.3</v>
      </c>
    </row>
    <row r="465">
      <c r="A465" s="7" t="inlineStr">
        <is>
          <t>99185</t>
        </is>
      </c>
      <c r="B465" s="7" t="inlineStr">
        <is>
          <t>Wilbur</t>
        </is>
      </c>
      <c r="C465" s="7" t="inlineStr">
        <is>
          <t>Lincoln</t>
        </is>
      </c>
      <c r="D465" s="7" t="n">
        <v>12.43781094527363</v>
      </c>
      <c r="E465" s="7" t="n">
        <v>36.46892178689259</v>
      </c>
      <c r="F465" s="7">
        <f>D465-E465</f>
        <v/>
      </c>
      <c r="G465" s="7">
        <f>ABS(F465)</f>
        <v/>
      </c>
      <c r="H465" s="7">
        <f>F465^2</f>
        <v/>
      </c>
      <c r="I465" s="7" t="n">
        <v>73094</v>
      </c>
      <c r="J465" s="7" t="n">
        <v>6.840796019900496</v>
      </c>
      <c r="K465" s="7" t="n">
        <v>14.4</v>
      </c>
      <c r="L465" s="7" t="n">
        <v>25</v>
      </c>
    </row>
    <row r="466">
      <c r="A466" s="7" t="inlineStr">
        <is>
          <t>99201</t>
        </is>
      </c>
      <c r="B466" s="7" t="inlineStr">
        <is>
          <t>Spokane</t>
        </is>
      </c>
      <c r="C466" s="7" t="inlineStr">
        <is>
          <t>Spokane</t>
        </is>
      </c>
      <c r="D466" s="7" t="n">
        <v>26.29855958096901</v>
      </c>
      <c r="E466" s="7" t="n">
        <v>19.25422982217449</v>
      </c>
      <c r="F466" s="7">
        <f>D466-E466</f>
        <v/>
      </c>
      <c r="G466" s="7">
        <f>ABS(F466)</f>
        <v/>
      </c>
      <c r="H466" s="7">
        <f>F466^2</f>
        <v/>
      </c>
      <c r="I466" s="7" t="n">
        <v>41171</v>
      </c>
      <c r="J466" s="7" t="n">
        <v>68.44172850283718</v>
      </c>
      <c r="K466" s="7" t="n">
        <v>14.5</v>
      </c>
      <c r="L466" s="7" t="n">
        <v>19.4</v>
      </c>
    </row>
    <row r="467">
      <c r="A467" s="7" t="inlineStr">
        <is>
          <t>99202</t>
        </is>
      </c>
      <c r="B467" s="7" t="inlineStr">
        <is>
          <t>Spokane</t>
        </is>
      </c>
      <c r="C467" s="7" t="inlineStr">
        <is>
          <t>Spokane</t>
        </is>
      </c>
      <c r="D467" s="7" t="n">
        <v>32.71641791044777</v>
      </c>
      <c r="E467" s="7" t="n">
        <v>37.75600872330457</v>
      </c>
      <c r="F467" s="7">
        <f>D467-E467</f>
        <v/>
      </c>
      <c r="G467" s="7">
        <f>ABS(F467)</f>
        <v/>
      </c>
      <c r="H467" s="7">
        <f>F467^2</f>
        <v/>
      </c>
      <c r="I467" s="7" t="n">
        <v>65189</v>
      </c>
      <c r="J467" s="7" t="n">
        <v>38.12537313432836</v>
      </c>
      <c r="K467" s="7" t="n">
        <v>17.6</v>
      </c>
      <c r="L467" s="7" t="n">
        <v>16</v>
      </c>
    </row>
    <row r="468">
      <c r="A468" s="7" t="inlineStr">
        <is>
          <t>99203</t>
        </is>
      </c>
      <c r="B468" s="7" t="inlineStr">
        <is>
          <t>Spokane</t>
        </is>
      </c>
      <c r="C468" s="7" t="inlineStr">
        <is>
          <t>Spokane</t>
        </is>
      </c>
      <c r="D468" s="7" t="n">
        <v>66.3497312939231</v>
      </c>
      <c r="E468" s="7" t="n">
        <v>75.33154760823153</v>
      </c>
      <c r="F468" s="7">
        <f>D468-E468</f>
        <v/>
      </c>
      <c r="G468" s="7">
        <f>ABS(F468)</f>
        <v/>
      </c>
      <c r="H468" s="7">
        <f>F468^2</f>
        <v/>
      </c>
      <c r="I468" s="7" t="n">
        <v>104372</v>
      </c>
      <c r="J468" s="7" t="n">
        <v>13.31128565522943</v>
      </c>
      <c r="K468" s="7" t="n">
        <v>19.7</v>
      </c>
      <c r="L468" s="7" t="n">
        <v>19.7</v>
      </c>
    </row>
    <row r="469">
      <c r="A469" s="7" t="inlineStr">
        <is>
          <t>99204</t>
        </is>
      </c>
      <c r="B469" s="7" t="inlineStr">
        <is>
          <t>Spokane</t>
        </is>
      </c>
      <c r="C469" s="7" t="inlineStr">
        <is>
          <t>Spokane</t>
        </is>
      </c>
      <c r="D469" s="7" t="n">
        <v>25.35983550376971</v>
      </c>
      <c r="E469" s="7" t="n">
        <v>48.83587760602666</v>
      </c>
      <c r="F469" s="7">
        <f>D469-E469</f>
        <v/>
      </c>
      <c r="G469" s="7">
        <f>ABS(F469)</f>
        <v/>
      </c>
      <c r="H469" s="7">
        <f>F469^2</f>
        <v/>
      </c>
      <c r="I469" s="7" t="n">
        <v>58277</v>
      </c>
      <c r="J469" s="7" t="n">
        <v>72.21841443911354</v>
      </c>
      <c r="K469" s="7" t="n">
        <v>14.5</v>
      </c>
      <c r="L469" s="7" t="n">
        <v>17</v>
      </c>
    </row>
    <row r="470">
      <c r="A470" s="7" t="inlineStr">
        <is>
          <t>99205</t>
        </is>
      </c>
      <c r="B470" s="7" t="inlineStr">
        <is>
          <t>Spokane</t>
        </is>
      </c>
      <c r="C470" s="7" t="inlineStr">
        <is>
          <t>Spokane</t>
        </is>
      </c>
      <c r="D470" s="7" t="n">
        <v>18.15252416756176</v>
      </c>
      <c r="E470" s="7" t="n">
        <v>40.6716935571593</v>
      </c>
      <c r="F470" s="7">
        <f>D470-E470</f>
        <v/>
      </c>
      <c r="G470" s="7">
        <f>ABS(F470)</f>
        <v/>
      </c>
      <c r="H470" s="7">
        <f>F470^2</f>
        <v/>
      </c>
      <c r="I470" s="7" t="n">
        <v>77374</v>
      </c>
      <c r="J470" s="7" t="n">
        <v>11.04189044038668</v>
      </c>
      <c r="K470" s="7" t="n">
        <v>14.7</v>
      </c>
      <c r="L470" s="7" t="n">
        <v>20.7</v>
      </c>
    </row>
    <row r="471">
      <c r="A471" s="7" t="inlineStr">
        <is>
          <t>99206</t>
        </is>
      </c>
      <c r="B471" s="7" t="inlineStr">
        <is>
          <t>Spokane Valley</t>
        </is>
      </c>
      <c r="C471" s="7" t="inlineStr">
        <is>
          <t>Spokane</t>
        </is>
      </c>
      <c r="D471" s="7" t="n">
        <v>27.28330424665503</v>
      </c>
      <c r="E471" s="7" t="n">
        <v>49.58352794229939</v>
      </c>
      <c r="F471" s="7">
        <f>D471-E471</f>
        <v/>
      </c>
      <c r="G471" s="7">
        <f>ABS(F471)</f>
        <v/>
      </c>
      <c r="H471" s="7">
        <f>F471^2</f>
        <v/>
      </c>
      <c r="I471" s="7" t="n">
        <v>81764</v>
      </c>
      <c r="J471" s="7" t="n">
        <v>26.35834787667248</v>
      </c>
      <c r="K471" s="7" t="n">
        <v>14.8</v>
      </c>
      <c r="L471" s="7" t="n">
        <v>21.1</v>
      </c>
    </row>
    <row r="472">
      <c r="A472" s="7" t="inlineStr">
        <is>
          <t>99207</t>
        </is>
      </c>
      <c r="B472" s="7" t="inlineStr">
        <is>
          <t>Spokane</t>
        </is>
      </c>
      <c r="C472" s="7" t="inlineStr">
        <is>
          <t>Spokane</t>
        </is>
      </c>
      <c r="D472" s="7" t="n">
        <v>13.68672604822942</v>
      </c>
      <c r="E472" s="7" t="n">
        <v>24.27028282587745</v>
      </c>
      <c r="F472" s="7">
        <f>D472-E472</f>
        <v/>
      </c>
      <c r="G472" s="7">
        <f>ABS(F472)</f>
        <v/>
      </c>
      <c r="H472" s="7">
        <f>F472^2</f>
        <v/>
      </c>
      <c r="I472" s="7" t="n">
        <v>60452</v>
      </c>
      <c r="J472" s="7" t="n">
        <v>24.80266492866971</v>
      </c>
      <c r="K472" s="7" t="n">
        <v>9.6</v>
      </c>
      <c r="L472" s="7" t="n">
        <v>21.5</v>
      </c>
    </row>
    <row r="473">
      <c r="A473" s="7" t="inlineStr">
        <is>
          <t>99208</t>
        </is>
      </c>
      <c r="B473" s="7" t="inlineStr">
        <is>
          <t>Spokane</t>
        </is>
      </c>
      <c r="C473" s="7" t="inlineStr">
        <is>
          <t>Spokane</t>
        </is>
      </c>
      <c r="D473" s="7" t="n">
        <v>41.30533064814435</v>
      </c>
      <c r="E473" s="7" t="n">
        <v>60.16160982513914</v>
      </c>
      <c r="F473" s="7">
        <f>D473-E473</f>
        <v/>
      </c>
      <c r="G473" s="7">
        <f>ABS(F473)</f>
        <v/>
      </c>
      <c r="H473" s="7">
        <f>F473^2</f>
        <v/>
      </c>
      <c r="I473" s="7" t="n">
        <v>88599</v>
      </c>
      <c r="J473" s="7" t="n">
        <v>27.64374666063869</v>
      </c>
      <c r="K473" s="7" t="n">
        <v>15.9</v>
      </c>
      <c r="L473" s="7" t="n">
        <v>24.1</v>
      </c>
    </row>
    <row r="474">
      <c r="A474" s="7" t="inlineStr">
        <is>
          <t>99212</t>
        </is>
      </c>
      <c r="B474" s="7" t="inlineStr">
        <is>
          <t>Spokane Valley</t>
        </is>
      </c>
      <c r="C474" s="7" t="inlineStr">
        <is>
          <t>Spokane</t>
        </is>
      </c>
      <c r="D474" s="7" t="n">
        <v>40.11311269375786</v>
      </c>
      <c r="E474" s="7" t="n">
        <v>33.3938937826673</v>
      </c>
      <c r="F474" s="7">
        <f>D474-E474</f>
        <v/>
      </c>
      <c r="G474" s="7">
        <f>ABS(F474)</f>
        <v/>
      </c>
      <c r="H474" s="7">
        <f>F474^2</f>
        <v/>
      </c>
      <c r="I474" s="7" t="n">
        <v>67049</v>
      </c>
      <c r="J474" s="7" t="n">
        <v>21.40762463343108</v>
      </c>
      <c r="K474" s="7" t="n">
        <v>14.2</v>
      </c>
      <c r="L474" s="7" t="n">
        <v>20.3</v>
      </c>
    </row>
    <row r="475">
      <c r="A475" s="7" t="inlineStr">
        <is>
          <t>99216</t>
        </is>
      </c>
      <c r="B475" s="7" t="inlineStr">
        <is>
          <t>Spokane Valley</t>
        </is>
      </c>
      <c r="C475" s="7" t="inlineStr">
        <is>
          <t>Spokane</t>
        </is>
      </c>
      <c r="D475" s="7" t="n">
        <v>21.23076923076923</v>
      </c>
      <c r="E475" s="7" t="n">
        <v>46.34100157683325</v>
      </c>
      <c r="F475" s="7">
        <f>D475-E475</f>
        <v/>
      </c>
      <c r="G475" s="7">
        <f>ABS(F475)</f>
        <v/>
      </c>
      <c r="H475" s="7">
        <f>F475^2</f>
        <v/>
      </c>
      <c r="I475" s="7" t="n">
        <v>74278</v>
      </c>
      <c r="J475" s="7" t="n">
        <v>45.05384615384615</v>
      </c>
      <c r="K475" s="7" t="n">
        <v>12.3</v>
      </c>
      <c r="L475" s="7" t="n">
        <v>20.3</v>
      </c>
    </row>
    <row r="476">
      <c r="A476" s="7" t="inlineStr">
        <is>
          <t>99217</t>
        </is>
      </c>
      <c r="B476" s="7" t="inlineStr">
        <is>
          <t>Spokane</t>
        </is>
      </c>
      <c r="C476" s="7" t="inlineStr">
        <is>
          <t>Spokane</t>
        </is>
      </c>
      <c r="D476" s="7" t="n">
        <v>26.24518838212994</v>
      </c>
      <c r="E476" s="7" t="n">
        <v>38.887268547408</v>
      </c>
      <c r="F476" s="7">
        <f>D476-E476</f>
        <v/>
      </c>
      <c r="G476" s="7">
        <f>ABS(F476)</f>
        <v/>
      </c>
      <c r="H476" s="7">
        <f>F476^2</f>
        <v/>
      </c>
      <c r="I476" s="7" t="n">
        <v>73620</v>
      </c>
      <c r="J476" s="7" t="n">
        <v>19.6663944943427</v>
      </c>
      <c r="K476" s="7" t="n">
        <v>13</v>
      </c>
      <c r="L476" s="7" t="n">
        <v>23.1</v>
      </c>
    </row>
    <row r="477">
      <c r="A477" s="7" t="inlineStr">
        <is>
          <t>99218</t>
        </is>
      </c>
      <c r="B477" s="7" t="inlineStr">
        <is>
          <t>Spokane</t>
        </is>
      </c>
      <c r="C477" s="7" t="inlineStr">
        <is>
          <t>Spokane</t>
        </is>
      </c>
      <c r="D477" s="7" t="n">
        <v>31.56146179401993</v>
      </c>
      <c r="E477" s="7" t="n">
        <v>55.40564727782373</v>
      </c>
      <c r="F477" s="7">
        <f>D477-E477</f>
        <v/>
      </c>
      <c r="G477" s="7">
        <f>ABS(F477)</f>
        <v/>
      </c>
      <c r="H477" s="7">
        <f>F477^2</f>
        <v/>
      </c>
      <c r="I477" s="7" t="n">
        <v>80733</v>
      </c>
      <c r="J477" s="7" t="n">
        <v>41.2866203563878</v>
      </c>
      <c r="K477" s="7" t="n">
        <v>14</v>
      </c>
      <c r="L477" s="7" t="n">
        <v>26.2</v>
      </c>
    </row>
    <row r="478">
      <c r="A478" s="7" t="inlineStr">
        <is>
          <t>99223</t>
        </is>
      </c>
      <c r="B478" s="7" t="inlineStr">
        <is>
          <t>Spokane</t>
        </is>
      </c>
      <c r="C478" s="7" t="inlineStr">
        <is>
          <t>Spokane</t>
        </is>
      </c>
      <c r="D478" s="7" t="n">
        <v>50.17334990514816</v>
      </c>
      <c r="E478" s="7" t="n">
        <v>74.7342625306852</v>
      </c>
      <c r="F478" s="7">
        <f>D478-E478</f>
        <v/>
      </c>
      <c r="G478" s="7">
        <f>ABS(F478)</f>
        <v/>
      </c>
      <c r="H478" s="7">
        <f>F478^2</f>
        <v/>
      </c>
      <c r="I478" s="7" t="n">
        <v>94279</v>
      </c>
      <c r="J478" s="7" t="n">
        <v>28.47517498528161</v>
      </c>
      <c r="K478" s="7" t="n">
        <v>23.3</v>
      </c>
      <c r="L478" s="7" t="n">
        <v>22.1</v>
      </c>
    </row>
    <row r="479">
      <c r="A479" s="7" t="inlineStr">
        <is>
          <t>99224</t>
        </is>
      </c>
      <c r="B479" s="7" t="inlineStr">
        <is>
          <t>Spokane</t>
        </is>
      </c>
      <c r="C479" s="7" t="inlineStr">
        <is>
          <t>Spokane</t>
        </is>
      </c>
      <c r="D479" s="7" t="n">
        <v>55.27955920874356</v>
      </c>
      <c r="E479" s="7" t="n">
        <v>49.40215341976943</v>
      </c>
      <c r="F479" s="7">
        <f>D479-E479</f>
        <v/>
      </c>
      <c r="G479" s="7">
        <f>ABS(F479)</f>
        <v/>
      </c>
      <c r="H479" s="7">
        <f>F479^2</f>
        <v/>
      </c>
      <c r="I479" s="7" t="n">
        <v>80770</v>
      </c>
      <c r="J479" s="7" t="n">
        <v>24.20738867310993</v>
      </c>
      <c r="K479" s="7" t="n">
        <v>14.8</v>
      </c>
      <c r="L479" s="7" t="n">
        <v>21</v>
      </c>
    </row>
    <row r="480">
      <c r="A480" s="7" t="inlineStr">
        <is>
          <t>99301</t>
        </is>
      </c>
      <c r="B480" s="7" t="inlineStr">
        <is>
          <t>Pasco</t>
        </is>
      </c>
      <c r="C480" s="7" t="inlineStr">
        <is>
          <t>Franklin</t>
        </is>
      </c>
      <c r="D480" s="7" t="n">
        <v>44.67633533781393</v>
      </c>
      <c r="E480" s="7" t="n">
        <v>46.56240539709604</v>
      </c>
      <c r="F480" s="7">
        <f>D480-E480</f>
        <v/>
      </c>
      <c r="G480" s="7">
        <f>ABS(F480)</f>
        <v/>
      </c>
      <c r="H480" s="7">
        <f>F480^2</f>
        <v/>
      </c>
      <c r="I480" s="7" t="n">
        <v>87951</v>
      </c>
      <c r="J480" s="7" t="n">
        <v>16.05942695436859</v>
      </c>
      <c r="K480" s="7" t="n">
        <v>8</v>
      </c>
      <c r="L480" s="7" t="n">
        <v>22.5</v>
      </c>
    </row>
    <row r="481">
      <c r="A481" s="7" t="inlineStr">
        <is>
          <t>99320</t>
        </is>
      </c>
      <c r="B481" s="7" t="inlineStr">
        <is>
          <t>Benton City</t>
        </is>
      </c>
      <c r="C481" s="7" t="inlineStr">
        <is>
          <t>Benton</t>
        </is>
      </c>
      <c r="D481" s="7" t="n">
        <v>41.64470216130733</v>
      </c>
      <c r="E481" s="7" t="n">
        <v>50.67098369212337</v>
      </c>
      <c r="F481" s="7">
        <f>D481-E481</f>
        <v/>
      </c>
      <c r="G481" s="7">
        <f>ABS(F481)</f>
        <v/>
      </c>
      <c r="H481" s="7">
        <f>F481^2</f>
        <v/>
      </c>
      <c r="I481" s="7" t="n">
        <v>90102</v>
      </c>
      <c r="J481" s="7" t="n">
        <v>3.584607274644175</v>
      </c>
      <c r="K481" s="7" t="n">
        <v>12</v>
      </c>
      <c r="L481" s="7" t="n">
        <v>31.1</v>
      </c>
    </row>
    <row r="482">
      <c r="A482" s="7" t="inlineStr">
        <is>
          <t>99323</t>
        </is>
      </c>
      <c r="B482" s="7" t="inlineStr">
        <is>
          <t>Burbank</t>
        </is>
      </c>
      <c r="C482" s="7" t="inlineStr">
        <is>
          <t>Walla Walla</t>
        </is>
      </c>
      <c r="D482" s="7" t="n">
        <v>18.97018970189702</v>
      </c>
      <c r="E482" s="7" t="n">
        <v>48.24177580124434</v>
      </c>
      <c r="F482" s="7">
        <f>D482-E482</f>
        <v/>
      </c>
      <c r="G482" s="7">
        <f>ABS(F482)</f>
        <v/>
      </c>
      <c r="H482" s="7">
        <f>F482^2</f>
        <v/>
      </c>
      <c r="I482" s="7" t="n">
        <v>93092</v>
      </c>
      <c r="J482" s="7" t="n">
        <v>1.490514905149051</v>
      </c>
      <c r="K482" s="7" t="n">
        <v>7.1</v>
      </c>
      <c r="L482" s="7" t="n">
        <v>28.4</v>
      </c>
    </row>
    <row r="483">
      <c r="A483" s="7" t="inlineStr">
        <is>
          <t>99324</t>
        </is>
      </c>
      <c r="B483" s="7" t="inlineStr">
        <is>
          <t>College Place</t>
        </is>
      </c>
      <c r="C483" s="7" t="inlineStr">
        <is>
          <t>Walla Walla</t>
        </is>
      </c>
      <c r="D483" s="7" t="n">
        <v>31.42183817753338</v>
      </c>
      <c r="E483" s="7" t="n">
        <v>27.52086378629006</v>
      </c>
      <c r="F483" s="7">
        <f>D483-E483</f>
        <v/>
      </c>
      <c r="G483" s="7">
        <f>ABS(F483)</f>
        <v/>
      </c>
      <c r="H483" s="7">
        <f>F483^2</f>
        <v/>
      </c>
      <c r="I483" s="7" t="n">
        <v>62839</v>
      </c>
      <c r="J483" s="7" t="n">
        <v>29.11757004451427</v>
      </c>
      <c r="K483" s="7" t="n">
        <v>11.9</v>
      </c>
      <c r="L483" s="7" t="n">
        <v>13.1</v>
      </c>
    </row>
    <row r="484">
      <c r="A484" s="7" t="inlineStr">
        <is>
          <t>99326</t>
        </is>
      </c>
      <c r="B484" s="7" t="inlineStr">
        <is>
          <t>Connell</t>
        </is>
      </c>
      <c r="C484" s="7" t="inlineStr">
        <is>
          <t>Franklin</t>
        </is>
      </c>
      <c r="D484" s="7" t="n">
        <v>15.20158625247852</v>
      </c>
      <c r="E484" s="7" t="n">
        <v>42.09260947615194</v>
      </c>
      <c r="F484" s="7">
        <f>D484-E484</f>
        <v/>
      </c>
      <c r="G484" s="7">
        <f>ABS(F484)</f>
        <v/>
      </c>
      <c r="H484" s="7">
        <f>F484^2</f>
        <v/>
      </c>
      <c r="I484" s="7" t="n">
        <v>82500</v>
      </c>
      <c r="J484" s="7" t="n">
        <v>14.14408460013219</v>
      </c>
      <c r="K484" s="7" t="n">
        <v>9.300000000000001</v>
      </c>
      <c r="L484" s="7" t="n">
        <v>23.7</v>
      </c>
    </row>
    <row r="485">
      <c r="A485" s="7" t="inlineStr">
        <is>
          <t>99328</t>
        </is>
      </c>
      <c r="B485" s="7" t="inlineStr">
        <is>
          <t>Dayton</t>
        </is>
      </c>
      <c r="C485" s="7" t="inlineStr">
        <is>
          <t>Columbia</t>
        </is>
      </c>
      <c r="D485" s="7" t="n">
        <v>12.64542235710673</v>
      </c>
      <c r="E485" s="7" t="n">
        <v>29.8036731179284</v>
      </c>
      <c r="F485" s="7">
        <f>D485-E485</f>
        <v/>
      </c>
      <c r="G485" s="7">
        <f>ABS(F485)</f>
        <v/>
      </c>
      <c r="H485" s="7">
        <f>F485^2</f>
        <v/>
      </c>
      <c r="I485" s="7" t="n">
        <v>72756</v>
      </c>
      <c r="J485" s="7" t="n">
        <v>5.513404147698533</v>
      </c>
      <c r="K485" s="7" t="n">
        <v>11.9</v>
      </c>
      <c r="L485" s="7" t="n">
        <v>21.4</v>
      </c>
    </row>
    <row r="486">
      <c r="A486" s="7" t="inlineStr">
        <is>
          <t>99330</t>
        </is>
      </c>
      <c r="B486" s="7" t="inlineStr">
        <is>
          <t>Eltopia</t>
        </is>
      </c>
      <c r="C486" s="7" t="inlineStr">
        <is>
          <t>Franklin</t>
        </is>
      </c>
      <c r="D486" s="7" t="n">
        <v>35.71428571428572</v>
      </c>
      <c r="E486" s="7" t="n">
        <v>82.75695164171393</v>
      </c>
      <c r="F486" s="7">
        <f>D486-E486</f>
        <v/>
      </c>
      <c r="G486" s="7">
        <f>ABS(F486)</f>
        <v/>
      </c>
      <c r="H486" s="7">
        <f>F486^2</f>
        <v/>
      </c>
      <c r="I486" s="7" t="n">
        <v>140093</v>
      </c>
      <c r="J486" s="7" t="n">
        <v>0</v>
      </c>
      <c r="K486" s="7" t="n">
        <v>0</v>
      </c>
      <c r="L486" s="7" t="n">
        <v>19.9</v>
      </c>
    </row>
    <row r="487">
      <c r="A487" s="7" t="inlineStr">
        <is>
          <t>99335</t>
        </is>
      </c>
      <c r="B487" s="7" t="inlineStr">
        <is>
          <t>Kahlotus</t>
        </is>
      </c>
      <c r="C487" s="7" t="inlineStr">
        <is>
          <t>Franklin</t>
        </is>
      </c>
      <c r="D487" s="7" t="n">
        <v>9.900990099009901</v>
      </c>
      <c r="E487" s="7" t="n">
        <v>57.34418288895475</v>
      </c>
      <c r="F487" s="7">
        <f>D487-E487</f>
        <v/>
      </c>
      <c r="G487" s="7">
        <f>ABS(F487)</f>
        <v/>
      </c>
      <c r="H487" s="7">
        <f>F487^2</f>
        <v/>
      </c>
      <c r="I487" s="7" t="n">
        <v>91667</v>
      </c>
      <c r="J487" s="7" t="n">
        <v>10.89108910891089</v>
      </c>
      <c r="K487" s="7" t="n">
        <v>14.5</v>
      </c>
      <c r="L487" s="7" t="n">
        <v>27.3</v>
      </c>
    </row>
    <row r="488">
      <c r="A488" s="7" t="inlineStr">
        <is>
          <t>99336</t>
        </is>
      </c>
      <c r="B488" s="7" t="inlineStr">
        <is>
          <t>Kennewick</t>
        </is>
      </c>
      <c r="C488" s="7" t="inlineStr">
        <is>
          <t>Benton</t>
        </is>
      </c>
      <c r="D488" s="7" t="n">
        <v>25.85468050661842</v>
      </c>
      <c r="E488" s="7" t="n">
        <v>31.0289517473281</v>
      </c>
      <c r="F488" s="7">
        <f>D488-E488</f>
        <v/>
      </c>
      <c r="G488" s="7">
        <f>ABS(F488)</f>
        <v/>
      </c>
      <c r="H488" s="7">
        <f>F488^2</f>
        <v/>
      </c>
      <c r="I488" s="7" t="n">
        <v>62527</v>
      </c>
      <c r="J488" s="7" t="n">
        <v>44.07675459480049</v>
      </c>
      <c r="K488" s="7" t="n">
        <v>8</v>
      </c>
      <c r="L488" s="7" t="n">
        <v>22.2</v>
      </c>
    </row>
    <row r="489">
      <c r="A489" s="7" t="inlineStr">
        <is>
          <t>99337</t>
        </is>
      </c>
      <c r="B489" s="7" t="inlineStr">
        <is>
          <t>Kennewick</t>
        </is>
      </c>
      <c r="C489" s="7" t="inlineStr">
        <is>
          <t>Benton</t>
        </is>
      </c>
      <c r="D489" s="7" t="n">
        <v>45.40458273442124</v>
      </c>
      <c r="E489" s="7" t="n">
        <v>58.64179423077617</v>
      </c>
      <c r="F489" s="7">
        <f>D489-E489</f>
        <v/>
      </c>
      <c r="G489" s="7">
        <f>ABS(F489)</f>
        <v/>
      </c>
      <c r="H489" s="7">
        <f>F489^2</f>
        <v/>
      </c>
      <c r="I489" s="7" t="n">
        <v>98848</v>
      </c>
      <c r="J489" s="7" t="n">
        <v>6.400608776528283</v>
      </c>
      <c r="K489" s="7" t="n">
        <v>11.4</v>
      </c>
      <c r="L489" s="7" t="n">
        <v>22.7</v>
      </c>
    </row>
    <row r="490">
      <c r="A490" s="7" t="inlineStr">
        <is>
          <t>99338</t>
        </is>
      </c>
      <c r="B490" s="7" t="inlineStr">
        <is>
          <t>Kennewick</t>
        </is>
      </c>
      <c r="C490" s="7" t="inlineStr">
        <is>
          <t>Benton</t>
        </is>
      </c>
      <c r="D490" s="7" t="n">
        <v>95.80088987764182</v>
      </c>
      <c r="E490" s="7" t="n">
        <v>76.18774020562356</v>
      </c>
      <c r="F490" s="7">
        <f>D490-E490</f>
        <v/>
      </c>
      <c r="G490" s="7">
        <f>ABS(F490)</f>
        <v/>
      </c>
      <c r="H490" s="7">
        <f>F490^2</f>
        <v/>
      </c>
      <c r="I490" s="7" t="n">
        <v>111042</v>
      </c>
      <c r="J490" s="7" t="n">
        <v>12.47219132369299</v>
      </c>
      <c r="K490" s="7" t="n">
        <v>14.9</v>
      </c>
      <c r="L490" s="7" t="n">
        <v>21.8</v>
      </c>
    </row>
    <row r="491">
      <c r="A491" s="7" t="inlineStr">
        <is>
          <t>99341</t>
        </is>
      </c>
      <c r="B491" s="7" t="inlineStr">
        <is>
          <t>Lind</t>
        </is>
      </c>
      <c r="C491" s="7" t="inlineStr">
        <is>
          <t>Adams</t>
        </is>
      </c>
      <c r="D491" s="7" t="n">
        <v>24.3161094224924</v>
      </c>
      <c r="E491" s="7" t="n">
        <v>23.22449258264856</v>
      </c>
      <c r="F491" s="7">
        <f>D491-E491</f>
        <v/>
      </c>
      <c r="G491" s="7">
        <f>ABS(F491)</f>
        <v/>
      </c>
      <c r="H491" s="7">
        <f>F491^2</f>
        <v/>
      </c>
      <c r="I491" s="7" t="n">
        <v>68558</v>
      </c>
      <c r="J491" s="7" t="n">
        <v>2.735562310030395</v>
      </c>
      <c r="K491" s="7" t="n">
        <v>7.8</v>
      </c>
      <c r="L491" s="7" t="n">
        <v>26.8</v>
      </c>
    </row>
    <row r="492">
      <c r="A492" s="7" t="inlineStr">
        <is>
          <t>99343</t>
        </is>
      </c>
      <c r="B492" s="7" t="inlineStr">
        <is>
          <t>Mesa</t>
        </is>
      </c>
      <c r="C492" s="7" t="inlineStr">
        <is>
          <t>Franklin</t>
        </is>
      </c>
      <c r="D492" s="7" t="n">
        <v>21.06567534076828</v>
      </c>
      <c r="E492" s="7" t="n">
        <v>18.51432506735027</v>
      </c>
      <c r="F492" s="7">
        <f>D492-E492</f>
        <v/>
      </c>
      <c r="G492" s="7">
        <f>ABS(F492)</f>
        <v/>
      </c>
      <c r="H492" s="7">
        <f>F492^2</f>
        <v/>
      </c>
      <c r="I492" s="7" t="n">
        <v>59451</v>
      </c>
      <c r="J492" s="7" t="n">
        <v>5.824039653035936</v>
      </c>
      <c r="K492" s="7" t="n">
        <v>12.8</v>
      </c>
      <c r="L492" s="7" t="n">
        <v>19.8</v>
      </c>
    </row>
    <row r="493">
      <c r="A493" s="7" t="inlineStr">
        <is>
          <t>99344</t>
        </is>
      </c>
      <c r="B493" s="7" t="inlineStr">
        <is>
          <t>Othello</t>
        </is>
      </c>
      <c r="C493" s="7" t="inlineStr">
        <is>
          <t>Adams</t>
        </is>
      </c>
      <c r="D493" s="7" t="n">
        <v>19.50474898236092</v>
      </c>
      <c r="E493" s="7" t="n">
        <v>20.39364431151935</v>
      </c>
      <c r="F493" s="7">
        <f>D493-E493</f>
        <v/>
      </c>
      <c r="G493" s="7">
        <f>ABS(F493)</f>
        <v/>
      </c>
      <c r="H493" s="7">
        <f>F493^2</f>
        <v/>
      </c>
      <c r="I493" s="7" t="n">
        <v>64888</v>
      </c>
      <c r="J493" s="7" t="n">
        <v>13.41587516960651</v>
      </c>
      <c r="K493" s="7" t="n">
        <v>6.4</v>
      </c>
      <c r="L493" s="7" t="n">
        <v>22.3</v>
      </c>
    </row>
    <row r="494">
      <c r="A494" s="7" t="inlineStr">
        <is>
          <t>99345</t>
        </is>
      </c>
      <c r="B494" s="7" t="inlineStr">
        <is>
          <t>Paterson</t>
        </is>
      </c>
      <c r="C494" s="7" t="inlineStr">
        <is>
          <t>Benton</t>
        </is>
      </c>
      <c r="D494" s="7" t="n">
        <v>12.98701298701299</v>
      </c>
      <c r="E494" s="7" t="n">
        <v>79.22699137549181</v>
      </c>
      <c r="F494" s="7">
        <f>D494-E494</f>
        <v/>
      </c>
      <c r="G494" s="7">
        <f>ABS(F494)</f>
        <v/>
      </c>
      <c r="H494" s="7">
        <f>F494^2</f>
        <v/>
      </c>
      <c r="I494" s="7" t="n">
        <v>102500</v>
      </c>
      <c r="J494" s="7" t="n">
        <v>0</v>
      </c>
      <c r="K494" s="7" t="n">
        <v>30.1</v>
      </c>
      <c r="L494" s="7" t="n">
        <v>24.5</v>
      </c>
    </row>
    <row r="495">
      <c r="A495" s="7" t="inlineStr">
        <is>
          <t>99347</t>
        </is>
      </c>
      <c r="B495" s="7" t="inlineStr">
        <is>
          <t>Pomeroy</t>
        </is>
      </c>
      <c r="C495" s="7" t="inlineStr">
        <is>
          <t>Garfield</t>
        </is>
      </c>
      <c r="D495" s="7" t="n">
        <v>5.255255255255256</v>
      </c>
      <c r="E495" s="7" t="n">
        <v>31.56362853269205</v>
      </c>
      <c r="F495" s="7">
        <f>D495-E495</f>
        <v/>
      </c>
      <c r="G495" s="7">
        <f>ABS(F495)</f>
        <v/>
      </c>
      <c r="H495" s="7">
        <f>F495^2</f>
        <v/>
      </c>
      <c r="I495" s="7" t="n">
        <v>64699</v>
      </c>
      <c r="J495" s="7" t="n">
        <v>5.705705705705705</v>
      </c>
      <c r="K495" s="7" t="n">
        <v>16.9</v>
      </c>
      <c r="L495" s="7" t="n">
        <v>26.7</v>
      </c>
    </row>
    <row r="496">
      <c r="A496" s="7" t="inlineStr">
        <is>
          <t>99348</t>
        </is>
      </c>
      <c r="B496" s="7" t="inlineStr">
        <is>
          <t>Prescott</t>
        </is>
      </c>
      <c r="C496" s="7" t="inlineStr">
        <is>
          <t>Walla Walla</t>
        </is>
      </c>
      <c r="D496" s="7" t="n">
        <v>5.830903790087463</v>
      </c>
      <c r="E496" s="7" t="n">
        <v>30.5787560395828</v>
      </c>
      <c r="F496" s="7">
        <f>D496-E496</f>
        <v/>
      </c>
      <c r="G496" s="7">
        <f>ABS(F496)</f>
        <v/>
      </c>
      <c r="H496" s="7">
        <f>F496^2</f>
        <v/>
      </c>
      <c r="I496" s="7" t="n">
        <v>79167</v>
      </c>
      <c r="J496" s="7" t="n">
        <v>17.93002915451895</v>
      </c>
      <c r="K496" s="7" t="n">
        <v>1</v>
      </c>
      <c r="L496" s="7" t="n">
        <v>22.2</v>
      </c>
    </row>
    <row r="497">
      <c r="A497" s="7" t="inlineStr">
        <is>
          <t>99349</t>
        </is>
      </c>
      <c r="B497" s="7" t="inlineStr">
        <is>
          <t>Mattawa</t>
        </is>
      </c>
      <c r="C497" s="7" t="inlineStr">
        <is>
          <t>Grant</t>
        </is>
      </c>
      <c r="D497" s="7" t="n">
        <v>16.34103019538188</v>
      </c>
      <c r="E497" s="7" t="n">
        <v>16.76717255094551</v>
      </c>
      <c r="F497" s="7">
        <f>D497-E497</f>
        <v/>
      </c>
      <c r="G497" s="7">
        <f>ABS(F497)</f>
        <v/>
      </c>
      <c r="H497" s="7">
        <f>F497^2</f>
        <v/>
      </c>
      <c r="I497" s="7" t="n">
        <v>61333</v>
      </c>
      <c r="J497" s="7" t="n">
        <v>10.69271758436945</v>
      </c>
      <c r="K497" s="7" t="n">
        <v>8.4</v>
      </c>
      <c r="L497" s="7" t="n">
        <v>21.8</v>
      </c>
    </row>
    <row r="498">
      <c r="A498" s="7" t="inlineStr">
        <is>
          <t>99350</t>
        </is>
      </c>
      <c r="B498" s="7" t="inlineStr">
        <is>
          <t>Prosser</t>
        </is>
      </c>
      <c r="C498" s="7" t="inlineStr">
        <is>
          <t>Benton</t>
        </is>
      </c>
      <c r="D498" s="7" t="n">
        <v>25.89444554259735</v>
      </c>
      <c r="E498" s="7" t="n">
        <v>41.42885331795084</v>
      </c>
      <c r="F498" s="7">
        <f>D498-E498</f>
        <v/>
      </c>
      <c r="G498" s="7">
        <f>ABS(F498)</f>
        <v/>
      </c>
      <c r="H498" s="7">
        <f>F498^2</f>
        <v/>
      </c>
      <c r="I498" s="7" t="n">
        <v>81014</v>
      </c>
      <c r="J498" s="7" t="n">
        <v>15.61573433484878</v>
      </c>
      <c r="K498" s="7" t="n">
        <v>10.1</v>
      </c>
      <c r="L498" s="7" t="n">
        <v>22.4</v>
      </c>
    </row>
    <row r="499">
      <c r="A499" s="7" t="inlineStr">
        <is>
          <t>99352</t>
        </is>
      </c>
      <c r="B499" s="7" t="inlineStr">
        <is>
          <t>Richland</t>
        </is>
      </c>
      <c r="C499" s="7" t="inlineStr">
        <is>
          <t>Benton</t>
        </is>
      </c>
      <c r="D499" s="7" t="n">
        <v>78.24824887991417</v>
      </c>
      <c r="E499" s="7" t="n">
        <v>73.31283648986384</v>
      </c>
      <c r="F499" s="7">
        <f>D499-E499</f>
        <v/>
      </c>
      <c r="G499" s="7">
        <f>ABS(F499)</f>
        <v/>
      </c>
      <c r="H499" s="7">
        <f>F499^2</f>
        <v/>
      </c>
      <c r="I499" s="7" t="n">
        <v>100108</v>
      </c>
      <c r="J499" s="7" t="n">
        <v>29.82898971414148</v>
      </c>
      <c r="K499" s="7" t="n">
        <v>17.6</v>
      </c>
      <c r="L499" s="7" t="n">
        <v>20.5</v>
      </c>
    </row>
    <row r="500">
      <c r="A500" s="7" t="inlineStr">
        <is>
          <t>99353</t>
        </is>
      </c>
      <c r="B500" s="7" t="inlineStr">
        <is>
          <t>West Richland</t>
        </is>
      </c>
      <c r="C500" s="7" t="inlineStr">
        <is>
          <t>Benton</t>
        </is>
      </c>
      <c r="D500" s="7" t="n">
        <v>69.66490299823633</v>
      </c>
      <c r="E500" s="7" t="n">
        <v>87.31991063928052</v>
      </c>
      <c r="F500" s="7">
        <f>D500-E500</f>
        <v/>
      </c>
      <c r="G500" s="7">
        <f>ABS(F500)</f>
        <v/>
      </c>
      <c r="H500" s="7">
        <f>F500^2</f>
        <v/>
      </c>
      <c r="I500" s="7" t="n">
        <v>121845</v>
      </c>
      <c r="J500" s="7" t="n">
        <v>7.260435038212816</v>
      </c>
      <c r="K500" s="7" t="n">
        <v>16.8</v>
      </c>
      <c r="L500" s="7" t="n">
        <v>24.6</v>
      </c>
    </row>
    <row r="501">
      <c r="A501" s="7" t="inlineStr">
        <is>
          <t>99354</t>
        </is>
      </c>
      <c r="B501" s="7" t="inlineStr">
        <is>
          <t>Richland</t>
        </is>
      </c>
      <c r="C501" s="7" t="inlineStr">
        <is>
          <t>Benton</t>
        </is>
      </c>
      <c r="D501" s="7" t="n">
        <v>47.91232678199438</v>
      </c>
      <c r="E501" s="7" t="n">
        <v>61.46173495753918</v>
      </c>
      <c r="F501" s="7">
        <f>D501-E501</f>
        <v/>
      </c>
      <c r="G501" s="7">
        <f>ABS(F501)</f>
        <v/>
      </c>
      <c r="H501" s="7">
        <f>F501^2</f>
        <v/>
      </c>
      <c r="I501" s="7" t="n">
        <v>91933</v>
      </c>
      <c r="J501" s="7" t="n">
        <v>30.71279775382665</v>
      </c>
      <c r="K501" s="7" t="n">
        <v>14.6</v>
      </c>
      <c r="L501" s="7" t="n">
        <v>20.1</v>
      </c>
    </row>
    <row r="502">
      <c r="A502" s="7" t="inlineStr">
        <is>
          <t>99357</t>
        </is>
      </c>
      <c r="B502" s="7" t="inlineStr">
        <is>
          <t>Royal City</t>
        </is>
      </c>
      <c r="C502" s="7" t="inlineStr">
        <is>
          <t>Grant</t>
        </is>
      </c>
      <c r="D502" s="7" t="n">
        <v>37.33333333333334</v>
      </c>
      <c r="E502" s="7" t="n">
        <v>13.0626512399071</v>
      </c>
      <c r="F502" s="7">
        <f>D502-E502</f>
        <v/>
      </c>
      <c r="G502" s="7">
        <f>ABS(F502)</f>
        <v/>
      </c>
      <c r="H502" s="7">
        <f>F502^2</f>
        <v/>
      </c>
      <c r="I502" s="7" t="n">
        <v>57034</v>
      </c>
      <c r="J502" s="7" t="n">
        <v>11.11111111111111</v>
      </c>
      <c r="K502" s="7" t="n">
        <v>7.8</v>
      </c>
      <c r="L502" s="7" t="n">
        <v>21.7</v>
      </c>
    </row>
    <row r="503">
      <c r="A503" s="7" t="inlineStr">
        <is>
          <t>99360</t>
        </is>
      </c>
      <c r="B503" s="7" t="inlineStr">
        <is>
          <t>Touchet</t>
        </is>
      </c>
      <c r="C503" s="7" t="inlineStr">
        <is>
          <t>Walla Walla</t>
        </is>
      </c>
      <c r="D503" s="7" t="n">
        <v>32.38866396761134</v>
      </c>
      <c r="E503" s="7" t="n">
        <v>49.59305585040135</v>
      </c>
      <c r="F503" s="7">
        <f>D503-E503</f>
        <v/>
      </c>
      <c r="G503" s="7">
        <f>ABS(F503)</f>
        <v/>
      </c>
      <c r="H503" s="7">
        <f>F503^2</f>
        <v/>
      </c>
      <c r="I503" s="7" t="n">
        <v>93036</v>
      </c>
      <c r="J503" s="7" t="n">
        <v>5.870445344129554</v>
      </c>
      <c r="K503" s="7" t="n">
        <v>9.699999999999999</v>
      </c>
      <c r="L503" s="7" t="n">
        <v>21.8</v>
      </c>
    </row>
    <row r="504">
      <c r="A504" s="7" t="inlineStr">
        <is>
          <t>99361</t>
        </is>
      </c>
      <c r="B504" s="7" t="inlineStr">
        <is>
          <t>Waitsburg</t>
        </is>
      </c>
      <c r="C504" s="7" t="inlineStr">
        <is>
          <t>Walla Walla</t>
        </is>
      </c>
      <c r="D504" s="7" t="n">
        <v>16.52892561983471</v>
      </c>
      <c r="E504" s="7" t="n">
        <v>46.79447334278036</v>
      </c>
      <c r="F504" s="7">
        <f>D504-E504</f>
        <v/>
      </c>
      <c r="G504" s="7">
        <f>ABS(F504)</f>
        <v/>
      </c>
      <c r="H504" s="7">
        <f>F504^2</f>
        <v/>
      </c>
      <c r="I504" s="7" t="n">
        <v>91367</v>
      </c>
      <c r="J504" s="7" t="n">
        <v>5.785123966942149</v>
      </c>
      <c r="K504" s="7" t="n">
        <v>7.9</v>
      </c>
      <c r="L504" s="7" t="n">
        <v>24.7</v>
      </c>
    </row>
    <row r="505">
      <c r="A505" s="7" t="inlineStr">
        <is>
          <t>99362</t>
        </is>
      </c>
      <c r="B505" s="7" t="inlineStr">
        <is>
          <t>Walla Walla</t>
        </is>
      </c>
      <c r="C505" s="7" t="inlineStr">
        <is>
          <t>Walla Walla</t>
        </is>
      </c>
      <c r="D505" s="7" t="n">
        <v>36.09625668449198</v>
      </c>
      <c r="E505" s="7" t="n">
        <v>33.73846873337015</v>
      </c>
      <c r="F505" s="7">
        <f>D505-E505</f>
        <v/>
      </c>
      <c r="G505" s="7">
        <f>ABS(F505)</f>
        <v/>
      </c>
      <c r="H505" s="7">
        <f>F505^2</f>
        <v/>
      </c>
      <c r="I505" s="7" t="n">
        <v>72474</v>
      </c>
      <c r="J505" s="7" t="n">
        <v>23.44028520499109</v>
      </c>
      <c r="K505" s="7" t="n">
        <v>12.5</v>
      </c>
      <c r="L505" s="7" t="n">
        <v>13.3</v>
      </c>
    </row>
    <row r="506">
      <c r="A506" s="7" t="inlineStr">
        <is>
          <t>99371</t>
        </is>
      </c>
      <c r="B506" s="7" t="inlineStr">
        <is>
          <t>Washtucna</t>
        </is>
      </c>
      <c r="C506" s="7" t="inlineStr">
        <is>
          <t>Adams</t>
        </is>
      </c>
      <c r="D506" s="7" t="n">
        <v>7.462686567164179</v>
      </c>
      <c r="E506" s="7" t="n">
        <v>30.05940746528786</v>
      </c>
      <c r="F506" s="7">
        <f>D506-E506</f>
        <v/>
      </c>
      <c r="G506" s="7">
        <f>ABS(F506)</f>
        <v/>
      </c>
      <c r="H506" s="7">
        <f>F506^2</f>
        <v/>
      </c>
      <c r="I506" s="7" t="n">
        <v>77500</v>
      </c>
      <c r="J506" s="7" t="n">
        <v>0</v>
      </c>
      <c r="K506" s="7" t="n">
        <v>8.800000000000001</v>
      </c>
      <c r="L506" s="7" t="n">
        <v>16.4</v>
      </c>
    </row>
    <row r="507">
      <c r="A507" s="7" t="inlineStr">
        <is>
          <t>99402</t>
        </is>
      </c>
      <c r="B507" s="7" t="inlineStr">
        <is>
          <t>Asotin</t>
        </is>
      </c>
      <c r="C507" s="7" t="inlineStr">
        <is>
          <t>Asotin</t>
        </is>
      </c>
      <c r="D507" s="7" t="n">
        <v>22.03182374541004</v>
      </c>
      <c r="E507" s="7" t="n">
        <v>37.88328089727243</v>
      </c>
      <c r="F507" s="7">
        <f>D507-E507</f>
        <v/>
      </c>
      <c r="G507" s="7">
        <f>ABS(F507)</f>
        <v/>
      </c>
      <c r="H507" s="7">
        <f>F507^2</f>
        <v/>
      </c>
      <c r="I507" s="7" t="n">
        <v>78906</v>
      </c>
      <c r="J507" s="7" t="n">
        <v>6.609547123623011</v>
      </c>
      <c r="K507" s="7" t="n">
        <v>13.7</v>
      </c>
      <c r="L507" s="7" t="n">
        <v>19.6</v>
      </c>
    </row>
    <row r="508">
      <c r="A508" s="7" t="inlineStr">
        <is>
          <t>99403</t>
        </is>
      </c>
      <c r="B508" s="7" t="inlineStr">
        <is>
          <t>Clarkston</t>
        </is>
      </c>
      <c r="C508" s="7" t="inlineStr">
        <is>
          <t>Asotin</t>
        </is>
      </c>
      <c r="D508" s="7" t="n">
        <v>11.20568904212908</v>
      </c>
      <c r="E508" s="7" t="n">
        <v>28.09948272149515</v>
      </c>
      <c r="F508" s="7">
        <f>D508-E508</f>
        <v/>
      </c>
      <c r="G508" s="7">
        <f>ABS(F508)</f>
        <v/>
      </c>
      <c r="H508" s="7">
        <f>F508^2</f>
        <v/>
      </c>
      <c r="I508" s="7" t="n">
        <v>71482</v>
      </c>
      <c r="J508" s="7" t="n">
        <v>12.96196530546277</v>
      </c>
      <c r="K508" s="7" t="n">
        <v>10.7</v>
      </c>
      <c r="L508" s="7" t="n">
        <v>15</v>
      </c>
    </row>
  </sheetData>
  <autoFilter ref="A1:L508"/>
  <conditionalFormatting sqref="G2:G508">
    <cfRule type="colorScale" priority="1">
      <colorScale>
        <cfvo type="min"/>
        <cfvo type="percentile" val="50"/>
        <cfvo type="max"/>
        <color rgb="00E8F5E9"/>
        <color rgb="00FFF3CD"/>
        <color rgb="00F8D7DA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4" customHeight="1">
      <c r="A1" s="1" t="inlineStr">
        <is>
          <t>Regresyon Yöntemi</t>
        </is>
      </c>
    </row>
    <row r="2" ht="25" customHeight="1">
      <c r="A2" s="2" t="inlineStr">
        <is>
          <t>Formüller, veri hazırlığı ve yorumlama notları</t>
        </is>
      </c>
    </row>
    <row r="3"/>
    <row r="4" ht="28" customHeight="1">
      <c r="A4" s="6" t="inlineStr">
        <is>
          <t>Başlık</t>
        </is>
      </c>
      <c r="B4" s="6" t="inlineStr">
        <is>
          <t>Açıklama</t>
        </is>
      </c>
    </row>
    <row r="5" ht="48" customHeight="1">
      <c r="A5" s="4" t="inlineStr">
        <is>
          <t>Araştırma sorusu</t>
        </is>
      </c>
      <c r="B5" s="5" t="inlineStr">
        <is>
          <t>Gelir, konut yapısı ve işe gidiş göstergeleri ZIP düzeyindeki EV yoğunluğunu ne ölçüde açıklıyor?</t>
        </is>
      </c>
    </row>
    <row r="6" ht="34" customHeight="1">
      <c r="A6" s="4" t="inlineStr">
        <is>
          <t>Bağımlı değişken</t>
        </is>
      </c>
      <c r="B6" s="5" t="inlineStr">
        <is>
          <t>Y = (Kayıtlı EV / Konut birimi) × 1.000</t>
        </is>
      </c>
    </row>
    <row r="7" ht="41" customHeight="1">
      <c r="A7" s="4" t="inlineStr">
        <is>
          <t>Model</t>
        </is>
      </c>
      <c r="B7" s="5" t="inlineStr">
        <is>
          <t>ŷ = β₀ + β₁z(Gelir) + β₂z(Çok birimli konut) + β₃z(Evden çalışma) + β₄z(İşe gidiş)</t>
        </is>
      </c>
    </row>
    <row r="8" ht="51" customHeight="1">
      <c r="A8" s="4" t="inlineStr">
        <is>
          <t>Standardizasyon</t>
        </is>
      </c>
      <c r="B8" s="5" t="inlineStr">
        <is>
          <t>z = (x − ortalama) / standart sapma. Böylece farklı ölçü birimlerindeki katsayılar karşılaştırılabilir.</t>
        </is>
      </c>
    </row>
    <row r="9" ht="52" customHeight="1">
      <c r="A9" s="4" t="inlineStr">
        <is>
          <t>R²</t>
        </is>
      </c>
      <c r="B9" s="5" t="inlineStr">
        <is>
          <t>R² = 1 − Σ(y−ŷ)² / Σ(y−ȳ)². Açıklanan değişim oranıdır; yüksek değer daha güçlü açıklama anlamına gelir.</t>
        </is>
      </c>
    </row>
    <row r="10" ht="45" customHeight="1">
      <c r="A10" s="4" t="inlineStr">
        <is>
          <t>MAE</t>
        </is>
      </c>
      <c r="B10" s="5" t="inlineStr">
        <is>
          <t>MAE = Σ|y−ŷ| / n. Tahminin gerçek değerden ortalama kaç EV/1.000 konut saptığını gösterir.</t>
        </is>
      </c>
    </row>
    <row r="11" ht="58" customHeight="1">
      <c r="A11" s="4" t="inlineStr">
        <is>
          <t>Doğrulama</t>
        </is>
      </c>
      <c r="B11" s="5" t="inlineStr">
        <is>
          <t>5-fold çapraz doğrulamada veri beş gruba ayrılır; her grup, diğer dört grupla kurulan model tarafından tahmin edilir.</t>
        </is>
      </c>
    </row>
    <row r="12" ht="53" customHeight="1">
      <c r="A12" s="4" t="inlineStr">
        <is>
          <t>Sınır</t>
        </is>
      </c>
      <c r="B12" s="5" t="inlineStr">
        <is>
          <t>Kesitsel gözlemsel veri kullanıldığı için katsayılar nedensellik veya gelecek tahmini olarak yorumlanamaz.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2026-08-15T14:07:17Z</dcterms:created>
  <dcterms:modified xsi:type="dcterms:W3CDTF">2026-08-15T14:07:17Z</dcterms:modified>
</cp:coreProperties>
</file>